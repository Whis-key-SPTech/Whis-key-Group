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8_{DD0BFDC0-DE2F-44C3-AB0B-F9DBE0FA9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sitos Projeto" sheetId="1" r:id="rId1"/>
    <sheet name="Planilha Requisitos SP2 (2)" sheetId="4" r:id="rId2"/>
  </sheets>
  <definedNames>
    <definedName name="_xlnm._FilterDatabase" localSheetId="0" hidden="1">'Requisitos Projeto'!#REF!</definedName>
    <definedName name="RealceValor">IFERROR(IF('Requisitos Projeto'!#REF!="Sim", TRUE, FALSE),FALSE)</definedName>
    <definedName name="_xlnm.Print_Titles" localSheetId="0">'Requisitos Projeto'!$1:$4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Q5" i="1"/>
  <c r="E50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51" i="4" s="1"/>
  <c r="E15" i="4"/>
  <c r="D50" i="4" s="1"/>
  <c r="F50" i="4" s="1"/>
  <c r="E14" i="4"/>
  <c r="D48" i="4" s="1"/>
  <c r="G64" i="4" s="1"/>
  <c r="E13" i="4"/>
  <c r="E12" i="4"/>
  <c r="E49" i="4" s="1"/>
  <c r="E11" i="4"/>
  <c r="E10" i="4"/>
  <c r="D47" i="4" s="1"/>
  <c r="F16" i="1"/>
  <c r="F5" i="1"/>
  <c r="F26" i="1"/>
  <c r="F27" i="1"/>
  <c r="F6" i="1"/>
  <c r="F7" i="1"/>
  <c r="F8" i="1"/>
  <c r="F9" i="1"/>
  <c r="F10" i="1"/>
  <c r="F11" i="1"/>
  <c r="F12" i="1"/>
  <c r="F13" i="1"/>
  <c r="F14" i="1"/>
  <c r="F15" i="1"/>
  <c r="F17" i="1"/>
  <c r="F18" i="1"/>
  <c r="F19" i="1"/>
  <c r="F20" i="1"/>
  <c r="F21" i="1"/>
  <c r="F22" i="1"/>
  <c r="F23" i="1"/>
  <c r="F24" i="1"/>
  <c r="F25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P5" i="1" l="1"/>
  <c r="P6" i="1"/>
  <c r="P7" i="1"/>
  <c r="P8" i="1"/>
  <c r="D51" i="4"/>
  <c r="E48" i="4"/>
  <c r="D49" i="4"/>
  <c r="F49" i="4" s="1"/>
  <c r="D60" i="4"/>
  <c r="D61" i="4" s="1"/>
  <c r="R6" i="1" l="1"/>
  <c r="S5" i="1"/>
  <c r="D62" i="4"/>
  <c r="D63" i="4" s="1"/>
  <c r="G63" i="4"/>
  <c r="E47" i="4"/>
  <c r="F47" i="4" s="1"/>
  <c r="D64" i="4"/>
  <c r="F51" i="4"/>
</calcChain>
</file>

<file path=xl/sharedStrings.xml><?xml version="1.0" encoding="utf-8"?>
<sst xmlns="http://schemas.openxmlformats.org/spreadsheetml/2006/main" count="438" uniqueCount="139">
  <si>
    <t>Planilha de requisitos</t>
  </si>
  <si>
    <t>Requisito</t>
  </si>
  <si>
    <t>Descrição</t>
  </si>
  <si>
    <t>Classificação</t>
  </si>
  <si>
    <t>Tamanho</t>
  </si>
  <si>
    <t>Tam(#)</t>
  </si>
  <si>
    <t>Prioridade</t>
  </si>
  <si>
    <t>Sprint</t>
  </si>
  <si>
    <t>Configuração setup do cliente</t>
  </si>
  <si>
    <t>Essencial</t>
  </si>
  <si>
    <t>PP</t>
  </si>
  <si>
    <t>SP1</t>
  </si>
  <si>
    <t>Realizar a instalação da VM</t>
  </si>
  <si>
    <t>Realizar a instalação do HyperVisor para produção da maquina virtual</t>
  </si>
  <si>
    <t>Criação de estrutura conceitual do Banco de dados</t>
  </si>
  <si>
    <t>Realizar o planegamento da estrutura CORE de nossa aplicação de banco de dados</t>
  </si>
  <si>
    <t>M</t>
  </si>
  <si>
    <t>Criação do protótipo do site Institucional</t>
  </si>
  <si>
    <t>Realizar a criação e idealização de fluxo do usuário e aparecencia do site institucional no FIGMA</t>
  </si>
  <si>
    <t>G</t>
  </si>
  <si>
    <t>Documentação inicial de nosso projeto</t>
  </si>
  <si>
    <t>Contextualizar nosso cliente, inserir nossa justificativa e escoplo definidos pelo time</t>
  </si>
  <si>
    <t>Criação da calculadora financeira</t>
  </si>
  <si>
    <t>Idealização e criação da nossa calculadora financeira e sua regra de negócio</t>
  </si>
  <si>
    <t>Importante</t>
  </si>
  <si>
    <t>Realizar a construção do arduino</t>
  </si>
  <si>
    <t>Realizar a construção do arduino de temperatura e umidade a nivel de hardware</t>
  </si>
  <si>
    <t>Configuração do código para o arduino</t>
  </si>
  <si>
    <t>Construção de nosso sensor  a nivel de software</t>
  </si>
  <si>
    <t>P</t>
  </si>
  <si>
    <t>Definir uma identidade visual</t>
  </si>
  <si>
    <t>Realizar uma brain storm para definição da identidade visual da apliacação</t>
  </si>
  <si>
    <t>Definir organização do GitHub</t>
  </si>
  <si>
    <t>Definir e organizar nossa plataforma de versionamento que será o github</t>
  </si>
  <si>
    <t>Criação e inserção de um Mock no banco de dados</t>
  </si>
  <si>
    <t>Preparar um mock no banco de dados, para realização de select para visualização</t>
  </si>
  <si>
    <t>Desejável</t>
  </si>
  <si>
    <t>Definição de select do Mock</t>
  </si>
  <si>
    <t>Definição de selects pré configurado, para exibir nossos dados implementados</t>
  </si>
  <si>
    <t>Criação de diagrama de negócio</t>
  </si>
  <si>
    <t>Construção do fluxo de nosso sistema de forma visual a nivel lógico</t>
  </si>
  <si>
    <t>Inserir requistos em plataforma de gestão</t>
  </si>
  <si>
    <t>Inserir os requistos definidos em plataforma de gestão para controle de fluxo</t>
  </si>
  <si>
    <t>Definição da Backlog do sistema</t>
  </si>
  <si>
    <t>Realizar um brainstorm para identificação e definição de todos requistos do sistema</t>
  </si>
  <si>
    <t>Desenvolver home do site institucional</t>
  </si>
  <si>
    <t>Desenvolver a tela Home do site institucional com HTML e CSS seguindo protótipo</t>
  </si>
  <si>
    <t>SP2</t>
  </si>
  <si>
    <t>Desenvolver login estático do institucional</t>
  </si>
  <si>
    <t>Desenvolver a tela para o usuário entrar no perfil, de forma estática sem validação</t>
  </si>
  <si>
    <t>Desenvolver saiba mais do institucional</t>
  </si>
  <si>
    <t>Desenvolver com HTML e CSS tela estática, de saiba mais</t>
  </si>
  <si>
    <t>Desenvolver tela de regra de negócio do institucional</t>
  </si>
  <si>
    <t>Desenvolver com HTML e CSS tela estática, sobre nossa regra de negócio</t>
  </si>
  <si>
    <t>Atualizar dados da calculadora financeira</t>
  </si>
  <si>
    <t>Atualizar dados de evaporação da calculadora financeira para um cenário mais realista</t>
  </si>
  <si>
    <t>Desenvolver calculadora financeira com CSS</t>
  </si>
  <si>
    <t>Implementar estilização com CSS para a calculadora financeira</t>
  </si>
  <si>
    <t>Desenvolver protótipo estilizado da calculadora</t>
  </si>
  <si>
    <t>Criar protótipo estilizado da calculadora financeira no FIGMA</t>
  </si>
  <si>
    <t>Desenvolver protótipo de telas de admin</t>
  </si>
  <si>
    <t>Idealizar e criar protótipo de telas: Home, Dashboard e perfil no adminsitrador pelo FIGMA</t>
  </si>
  <si>
    <t>Definição de itens da dasboard</t>
  </si>
  <si>
    <t>Simulação de gráficos dinâmicos com o arduino</t>
  </si>
  <si>
    <t>Construção e gráficos dinâmicos com o arduino utilizando API e NODE.js</t>
  </si>
  <si>
    <t>Modelagem lógica do Banco de Dados</t>
  </si>
  <si>
    <t>Definição de chaves estrangéiras, e criação de DER para nossas tabelas</t>
  </si>
  <si>
    <t>Criação de Script  V1 de nosso banco de dados</t>
  </si>
  <si>
    <t>Criação do script V1 de nosso banco de dados utilizando MYSQL</t>
  </si>
  <si>
    <t>Sprint Planning</t>
  </si>
  <si>
    <t>Definição de nossa Sprint Backlog e regras de equipe</t>
  </si>
  <si>
    <t>Preparar github e regras de desenvolvimento</t>
  </si>
  <si>
    <t>Criação de estruturação de nosso código, e definição de regras de desenvolvimento e padrões</t>
  </si>
  <si>
    <t>Aprimorar documentação</t>
  </si>
  <si>
    <t>Aprimorar e atualizar a documentação existente para nossa regra de negócio definida</t>
  </si>
  <si>
    <t>Implementação do SCRUM na gestão</t>
  </si>
  <si>
    <t>Atualizar nossa ferramenta de gestão, trello para utilização do SCRUM e nossos requisitos</t>
  </si>
  <si>
    <t>Criação de tabela de requistos</t>
  </si>
  <si>
    <t>Criação de tabela de requisitos definindo: requisto, descrição, classificação, tamanho, prioridade e sprint</t>
  </si>
  <si>
    <t>Criação de gráfico Burn Down</t>
  </si>
  <si>
    <t>Criação de gráfico Burn Down seguindo os requisitos</t>
  </si>
  <si>
    <t>Dados de sensor de forma dinâmica</t>
  </si>
  <si>
    <t>Implementação de dados do sensor de forma dinâmica no linux por meio da API</t>
  </si>
  <si>
    <t>Realizar preparação do SGBD no ambiênte virtual</t>
  </si>
  <si>
    <t>Realizar a instalação e configuração do MYSQL na VM</t>
  </si>
  <si>
    <t>Desenvolver gráficos</t>
  </si>
  <si>
    <t>Desenvolver gráficos utilizando a biblioteca Chart.js de forma estática</t>
  </si>
  <si>
    <t>Desenvolver painel com dasboards e perguntas de forma estática</t>
  </si>
  <si>
    <t>Desenvolver configurações de perfil</t>
  </si>
  <si>
    <t>Desenvolver tela de configurações de perfil de forma estática</t>
  </si>
  <si>
    <t xml:space="preserve">Implementar validações na tela de login </t>
  </si>
  <si>
    <t>Implementar com js validações de login</t>
  </si>
  <si>
    <t>Implementar validações na tela de cadastro</t>
  </si>
  <si>
    <t>Implementar com js validações de cadastro</t>
  </si>
  <si>
    <t>Realizar trajetória da equipe</t>
  </si>
  <si>
    <t>SP3</t>
  </si>
  <si>
    <t>Deixar ambiênte virtual acessível de forma remota</t>
  </si>
  <si>
    <t xml:space="preserve">Deixar o IP da maquina virtual em rede </t>
  </si>
  <si>
    <t>Tela de cadastro dinâmica</t>
  </si>
  <si>
    <t>Criar usuários funcionários com a tela de cadastro salvando no mysql</t>
  </si>
  <si>
    <t>Gráficos da dasboard dinâmicos</t>
  </si>
  <si>
    <t>Deixar gráficos dinâmicos com o banco de dados</t>
  </si>
  <si>
    <t>Configurações de perfil dinâmico</t>
  </si>
  <si>
    <t>Implementar configurações de perfil de forma dinâmica</t>
  </si>
  <si>
    <t>Hospedar o site</t>
  </si>
  <si>
    <t>Implementar a hospedagem do site pelo IP da máquina virtual</t>
  </si>
  <si>
    <t>Desenvolver alertas dinâmicos</t>
  </si>
  <si>
    <t>Implementar alertas dinâmicos</t>
  </si>
  <si>
    <t>Desenvolver alertas de forma estática</t>
  </si>
  <si>
    <t>Criar relatórios financeiros dinâmicos</t>
  </si>
  <si>
    <t>Implementar relatórios financeiros dinâmicos</t>
  </si>
  <si>
    <t>Desenvolver relatórios financeiros estáticos</t>
  </si>
  <si>
    <t>TOTAL</t>
  </si>
  <si>
    <t xml:space="preserve"> SP1</t>
  </si>
  <si>
    <t>Realizar a construção da maquina virtual para o cliente, utilizando a imagem do Lubunto</t>
  </si>
  <si>
    <t>Entregue</t>
  </si>
  <si>
    <t>Pendente</t>
  </si>
  <si>
    <t>Planejado</t>
  </si>
  <si>
    <t>Planilha de requisitos Sprint 2</t>
  </si>
  <si>
    <t>SP2 A</t>
  </si>
  <si>
    <t>SP2 B</t>
  </si>
  <si>
    <t>SP2 D</t>
  </si>
  <si>
    <t>SP2 C</t>
  </si>
  <si>
    <t xml:space="preserve"> SP2 A</t>
  </si>
  <si>
    <t>Sprint 2</t>
  </si>
  <si>
    <t xml:space="preserve">Diagrama de Solução </t>
  </si>
  <si>
    <t>Construção do Diagrama de Solução</t>
  </si>
  <si>
    <t xml:space="preserve">SP2 </t>
  </si>
  <si>
    <t>Important</t>
  </si>
  <si>
    <t>Desenvolver a telaCrude do Administrador</t>
  </si>
  <si>
    <t>Desenvolver a tela  Crude do Adiministrador HTML e CSS</t>
  </si>
  <si>
    <t>Idealizar quais itens teremos em nossa dash[board</t>
  </si>
  <si>
    <t>Desenvolver Dasboard</t>
  </si>
  <si>
    <t>A partir de métricas do gráfico burndown, vistoriar trajetória da equipe</t>
  </si>
  <si>
    <t>Desenvolver a tela Crude do Administrador</t>
  </si>
  <si>
    <t>Progresso</t>
  </si>
  <si>
    <t>SELECIONAR MINI SPRINT (A -D)</t>
  </si>
  <si>
    <t>SPRINT</t>
  </si>
  <si>
    <t>Pontos FIBONACCI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</si>
</sst>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&quot;R$&quot;\ #,##0.00"/>
  </numFmts>
  <fonts count="28" x14ac:knownFonts="1"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  <font>
      <sz val="11"/>
      <color theme="1"/>
      <name val="Univers"/>
      <family val="2"/>
      <scheme val="minor"/>
    </font>
    <font>
      <sz val="18"/>
      <color theme="3"/>
      <name val="Broadway"/>
      <family val="2"/>
      <scheme val="major"/>
    </font>
    <font>
      <b/>
      <sz val="15"/>
      <color theme="3"/>
      <name val="Univers"/>
      <family val="2"/>
      <scheme val="minor"/>
    </font>
    <font>
      <b/>
      <sz val="13"/>
      <color theme="3"/>
      <name val="Univers"/>
      <family val="2"/>
      <scheme val="minor"/>
    </font>
    <font>
      <b/>
      <sz val="11"/>
      <color theme="3"/>
      <name val="Univers"/>
      <family val="2"/>
      <scheme val="minor"/>
    </font>
    <font>
      <sz val="11"/>
      <color rgb="FF006100"/>
      <name val="Univers"/>
      <family val="2"/>
      <scheme val="minor"/>
    </font>
    <font>
      <sz val="11"/>
      <color rgb="FF9C0006"/>
      <name val="Univers"/>
      <family val="2"/>
      <scheme val="minor"/>
    </font>
    <font>
      <sz val="11"/>
      <color rgb="FF9C5700"/>
      <name val="Univers"/>
      <family val="2"/>
      <scheme val="minor"/>
    </font>
    <font>
      <sz val="11"/>
      <color rgb="FF3F3F76"/>
      <name val="Univers"/>
      <family val="2"/>
      <scheme val="minor"/>
    </font>
    <font>
      <b/>
      <sz val="11"/>
      <color rgb="FF3F3F3F"/>
      <name val="Univers"/>
      <family val="2"/>
      <scheme val="minor"/>
    </font>
    <font>
      <b/>
      <sz val="11"/>
      <color rgb="FFFA7D00"/>
      <name val="Univers"/>
      <family val="2"/>
      <scheme val="minor"/>
    </font>
    <font>
      <sz val="11"/>
      <color rgb="FFFA7D00"/>
      <name val="Univers"/>
      <family val="2"/>
      <scheme val="minor"/>
    </font>
    <font>
      <b/>
      <sz val="11"/>
      <color theme="0"/>
      <name val="Univers"/>
      <family val="2"/>
      <scheme val="minor"/>
    </font>
    <font>
      <sz val="11"/>
      <color rgb="FFFF0000"/>
      <name val="Univers"/>
      <family val="2"/>
      <scheme val="minor"/>
    </font>
    <font>
      <i/>
      <sz val="11"/>
      <color rgb="FF7F7F7F"/>
      <name val="Univers"/>
      <family val="2"/>
      <scheme val="minor"/>
    </font>
    <font>
      <b/>
      <sz val="11"/>
      <color theme="1"/>
      <name val="Univers"/>
      <family val="2"/>
      <scheme val="minor"/>
    </font>
    <font>
      <sz val="11"/>
      <color theme="0"/>
      <name val="Univers"/>
      <family val="2"/>
      <scheme val="minor"/>
    </font>
    <font>
      <sz val="16"/>
      <color theme="1"/>
      <name val="Univers"/>
      <family val="2"/>
      <scheme val="minor"/>
    </font>
    <font>
      <b/>
      <sz val="48"/>
      <color theme="0"/>
      <name val="Univers"/>
      <family val="2"/>
      <scheme val="minor"/>
    </font>
    <font>
      <sz val="12"/>
      <color theme="0"/>
      <name val="Univers"/>
      <family val="2"/>
      <scheme val="minor"/>
    </font>
    <font>
      <sz val="16"/>
      <color theme="8" tint="-0.249977111117893"/>
      <name val="Univers"/>
      <family val="2"/>
      <scheme val="minor"/>
    </font>
    <font>
      <b/>
      <sz val="12"/>
      <color theme="1"/>
      <name val="Amasis MT Pro Black"/>
      <family val="1"/>
    </font>
    <font>
      <b/>
      <sz val="12"/>
      <color theme="8" tint="-0.249977111117893"/>
      <name val="Amasis MT Pro Black"/>
      <family val="1"/>
    </font>
    <font>
      <b/>
      <sz val="24"/>
      <color theme="0"/>
      <name val="Univers"/>
      <family val="2"/>
      <scheme val="minor"/>
    </font>
    <font>
      <u/>
      <sz val="11"/>
      <color theme="1"/>
      <name val="Univers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49992370372631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C311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6" fillId="0" borderId="0" applyNumberFormat="0" applyFill="0" applyBorder="0" applyAlignment="0" applyProtection="0"/>
    <xf numFmtId="0" fontId="3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20" fillId="0" borderId="0" xfId="0" applyFont="1" applyAlignment="1">
      <alignment horizontal="left" vertical="center" indent="2"/>
    </xf>
    <xf numFmtId="166" fontId="20" fillId="0" borderId="0" xfId="0" applyNumberFormat="1" applyFont="1" applyAlignment="1">
      <alignment horizontal="left" vertical="center" indent="2"/>
    </xf>
    <xf numFmtId="0" fontId="20" fillId="0" borderId="0" xfId="0" applyFont="1" applyAlignment="1">
      <alignment horizontal="left" vertical="center" wrapText="1" indent="2"/>
    </xf>
    <xf numFmtId="0" fontId="2" fillId="34" borderId="11" xfId="0" applyFont="1" applyFill="1" applyBorder="1" applyAlignment="1">
      <alignment vertical="center"/>
    </xf>
    <xf numFmtId="0" fontId="2" fillId="36" borderId="13" xfId="0" applyFont="1" applyFill="1" applyBorder="1" applyAlignment="1">
      <alignment vertical="center"/>
    </xf>
    <xf numFmtId="0" fontId="2" fillId="37" borderId="11" xfId="0" applyFont="1" applyFill="1" applyBorder="1" applyAlignment="1">
      <alignment vertical="center"/>
    </xf>
    <xf numFmtId="0" fontId="2" fillId="36" borderId="15" xfId="0" applyFont="1" applyFill="1" applyBorder="1" applyAlignment="1">
      <alignment vertical="center"/>
    </xf>
    <xf numFmtId="0" fontId="2" fillId="38" borderId="13" xfId="0" applyFont="1" applyFill="1" applyBorder="1" applyAlignment="1">
      <alignment horizontal="right" vertical="center" indent="1"/>
    </xf>
    <xf numFmtId="0" fontId="20" fillId="41" borderId="0" xfId="0" applyFont="1" applyFill="1" applyAlignment="1">
      <alignment horizontal="left" vertical="center" indent="2"/>
    </xf>
    <xf numFmtId="166" fontId="20" fillId="41" borderId="0" xfId="0" applyNumberFormat="1" applyFont="1" applyFill="1" applyAlignment="1">
      <alignment horizontal="left" vertical="center" indent="2"/>
    </xf>
    <xf numFmtId="0" fontId="20" fillId="41" borderId="0" xfId="0" applyFont="1" applyFill="1" applyAlignment="1">
      <alignment horizontal="left" vertical="center" wrapText="1" indent="2"/>
    </xf>
    <xf numFmtId="0" fontId="20" fillId="36" borderId="0" xfId="0" applyFont="1" applyFill="1" applyAlignment="1">
      <alignment horizontal="left" vertical="center" indent="2"/>
    </xf>
    <xf numFmtId="166" fontId="20" fillId="36" borderId="0" xfId="0" applyNumberFormat="1" applyFont="1" applyFill="1" applyAlignment="1">
      <alignment horizontal="left" vertical="center" indent="2"/>
    </xf>
    <xf numFmtId="0" fontId="20" fillId="36" borderId="0" xfId="0" applyFont="1" applyFill="1" applyAlignment="1">
      <alignment horizontal="left" vertical="center" wrapText="1" indent="2"/>
    </xf>
    <xf numFmtId="0" fontId="2" fillId="39" borderId="0" xfId="0" applyFont="1" applyFill="1"/>
    <xf numFmtId="0" fontId="2" fillId="39" borderId="0" xfId="0" applyFont="1" applyFill="1" applyAlignment="1">
      <alignment vertical="center"/>
    </xf>
    <xf numFmtId="0" fontId="2" fillId="39" borderId="0" xfId="0" applyFont="1" applyFill="1" applyAlignment="1">
      <alignment horizontal="center" vertical="center"/>
    </xf>
    <xf numFmtId="0" fontId="2" fillId="39" borderId="0" xfId="0" applyFont="1" applyFill="1" applyAlignment="1">
      <alignment horizontal="left" indent="1"/>
    </xf>
    <xf numFmtId="0" fontId="2" fillId="39" borderId="0" xfId="0" applyFont="1" applyFill="1" applyAlignment="1">
      <alignment horizontal="right" indent="1"/>
    </xf>
    <xf numFmtId="0" fontId="2" fillId="39" borderId="0" xfId="0" applyFont="1" applyFill="1" applyAlignment="1">
      <alignment horizontal="left" vertical="center" indent="1"/>
    </xf>
    <xf numFmtId="0" fontId="2" fillId="39" borderId="0" xfId="0" applyFont="1" applyFill="1" applyAlignment="1">
      <alignment horizontal="right" vertical="center" indent="1"/>
    </xf>
    <xf numFmtId="0" fontId="2" fillId="41" borderId="0" xfId="0" applyFont="1" applyFill="1" applyAlignment="1">
      <alignment horizontal="right" vertical="center" indent="1"/>
    </xf>
    <xf numFmtId="0" fontId="24" fillId="40" borderId="0" xfId="0" applyFont="1" applyFill="1" applyAlignment="1">
      <alignment horizontal="left" vertical="center" wrapText="1" indent="1"/>
    </xf>
    <xf numFmtId="0" fontId="25" fillId="40" borderId="0" xfId="0" applyFont="1" applyFill="1" applyAlignment="1">
      <alignment vertical="center" wrapText="1"/>
    </xf>
    <xf numFmtId="0" fontId="23" fillId="41" borderId="0" xfId="0" applyFont="1" applyFill="1" applyAlignment="1">
      <alignment horizontal="left" vertical="center" indent="2"/>
    </xf>
    <xf numFmtId="166" fontId="23" fillId="41" borderId="0" xfId="0" applyNumberFormat="1" applyFont="1" applyFill="1" applyAlignment="1">
      <alignment horizontal="left" vertical="center" indent="2"/>
    </xf>
    <xf numFmtId="0" fontId="23" fillId="41" borderId="0" xfId="0" applyFont="1" applyFill="1" applyAlignment="1">
      <alignment horizontal="left" vertical="center" wrapText="1" indent="2"/>
    </xf>
    <xf numFmtId="0" fontId="23" fillId="36" borderId="0" xfId="0" applyFont="1" applyFill="1" applyAlignment="1">
      <alignment horizontal="left" vertical="center" indent="2"/>
    </xf>
    <xf numFmtId="166" fontId="23" fillId="36" borderId="0" xfId="0" applyNumberFormat="1" applyFont="1" applyFill="1" applyAlignment="1">
      <alignment horizontal="left" vertical="center" indent="2"/>
    </xf>
    <xf numFmtId="0" fontId="23" fillId="36" borderId="0" xfId="0" applyFont="1" applyFill="1" applyAlignment="1">
      <alignment horizontal="left" vertical="center" wrapText="1" indent="2"/>
    </xf>
    <xf numFmtId="0" fontId="25" fillId="40" borderId="0" xfId="0" applyFont="1" applyFill="1" applyAlignment="1">
      <alignment horizontal="center" vertical="center" wrapText="1"/>
    </xf>
    <xf numFmtId="0" fontId="0" fillId="0" borderId="13" xfId="0" applyBorder="1"/>
    <xf numFmtId="0" fontId="2" fillId="36" borderId="12" xfId="0" applyFont="1" applyFill="1" applyBorder="1" applyAlignment="1">
      <alignment horizontal="right" vertical="center"/>
    </xf>
    <xf numFmtId="0" fontId="0" fillId="42" borderId="13" xfId="0" applyFill="1" applyBorder="1"/>
    <xf numFmtId="0" fontId="2" fillId="37" borderId="13" xfId="0" applyFont="1" applyFill="1" applyBorder="1" applyAlignment="1">
      <alignment vertical="center"/>
    </xf>
    <xf numFmtId="0" fontId="2" fillId="34" borderId="13" xfId="0" applyFont="1" applyFill="1" applyBorder="1" applyAlignment="1">
      <alignment vertical="center"/>
    </xf>
    <xf numFmtId="0" fontId="0" fillId="38" borderId="18" xfId="0" applyFill="1" applyBorder="1"/>
    <xf numFmtId="0" fontId="0" fillId="42" borderId="19" xfId="0" applyFill="1" applyBorder="1"/>
    <xf numFmtId="0" fontId="0" fillId="0" borderId="19" xfId="0" applyBorder="1"/>
    <xf numFmtId="0" fontId="27" fillId="0" borderId="0" xfId="0" applyFont="1"/>
    <xf numFmtId="0" fontId="0" fillId="38" borderId="0" xfId="0" applyFill="1"/>
    <xf numFmtId="0" fontId="20" fillId="44" borderId="0" xfId="0" applyFont="1" applyFill="1" applyAlignment="1">
      <alignment horizontal="left" vertical="center" indent="2"/>
    </xf>
    <xf numFmtId="166" fontId="20" fillId="44" borderId="0" xfId="0" applyNumberFormat="1" applyFont="1" applyFill="1" applyAlignment="1">
      <alignment horizontal="left" vertical="center" indent="2"/>
    </xf>
    <xf numFmtId="0" fontId="20" fillId="44" borderId="0" xfId="0" applyFont="1" applyFill="1" applyAlignment="1">
      <alignment horizontal="left" vertical="center" wrapText="1" indent="2"/>
    </xf>
    <xf numFmtId="0" fontId="2" fillId="0" borderId="23" xfId="0" applyFont="1" applyBorder="1" applyAlignment="1">
      <alignment vertical="center"/>
    </xf>
    <xf numFmtId="0" fontId="2" fillId="0" borderId="24" xfId="0" applyFont="1" applyBorder="1"/>
    <xf numFmtId="0" fontId="2" fillId="0" borderId="18" xfId="0" applyFont="1" applyBorder="1"/>
    <xf numFmtId="0" fontId="2" fillId="0" borderId="25" xfId="0" applyFont="1" applyBorder="1"/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45" borderId="13" xfId="0" applyFont="1" applyFill="1" applyBorder="1" applyAlignment="1">
      <alignment horizontal="center" vertical="center"/>
    </xf>
    <xf numFmtId="0" fontId="2" fillId="36" borderId="13" xfId="0" applyFont="1" applyFill="1" applyBorder="1" applyAlignment="1">
      <alignment horizontal="right" vertical="center" indent="1"/>
    </xf>
    <xf numFmtId="0" fontId="2" fillId="46" borderId="13" xfId="0" applyFont="1" applyFill="1" applyBorder="1" applyAlignment="1">
      <alignment horizontal="right" vertical="center" indent="1"/>
    </xf>
    <xf numFmtId="0" fontId="2" fillId="38" borderId="13" xfId="0" applyFont="1" applyFill="1" applyBorder="1" applyAlignment="1">
      <alignment horizontal="center" vertical="center"/>
    </xf>
    <xf numFmtId="0" fontId="2" fillId="36" borderId="13" xfId="0" applyFont="1" applyFill="1" applyBorder="1" applyAlignment="1">
      <alignment horizontal="center" vertical="center"/>
    </xf>
    <xf numFmtId="0" fontId="21" fillId="39" borderId="0" xfId="0" applyFont="1" applyFill="1" applyAlignment="1">
      <alignment horizontal="center" vertical="center"/>
    </xf>
    <xf numFmtId="0" fontId="22" fillId="39" borderId="0" xfId="0" applyFont="1" applyFill="1" applyAlignment="1">
      <alignment horizontal="center" vertical="center"/>
    </xf>
    <xf numFmtId="0" fontId="2" fillId="36" borderId="10" xfId="0" applyFont="1" applyFill="1" applyBorder="1" applyAlignment="1">
      <alignment horizontal="center" vertical="center"/>
    </xf>
    <xf numFmtId="0" fontId="2" fillId="36" borderId="15" xfId="0" applyFont="1" applyFill="1" applyBorder="1" applyAlignment="1">
      <alignment horizontal="center" vertical="center"/>
    </xf>
    <xf numFmtId="0" fontId="2" fillId="35" borderId="10" xfId="0" applyFont="1" applyFill="1" applyBorder="1" applyAlignment="1">
      <alignment horizontal="center" vertical="center"/>
    </xf>
    <xf numFmtId="0" fontId="2" fillId="35" borderId="15" xfId="0" applyFont="1" applyFill="1" applyBorder="1" applyAlignment="1">
      <alignment horizontal="center" vertical="center"/>
    </xf>
    <xf numFmtId="0" fontId="0" fillId="38" borderId="0" xfId="0" applyFill="1" applyAlignment="1">
      <alignment horizontal="center"/>
    </xf>
    <xf numFmtId="0" fontId="0" fillId="43" borderId="11" xfId="0" applyFill="1" applyBorder="1" applyAlignment="1">
      <alignment horizontal="center" vertical="center"/>
    </xf>
    <xf numFmtId="0" fontId="0" fillId="43" borderId="14" xfId="0" applyFill="1" applyBorder="1" applyAlignment="1">
      <alignment horizontal="center" vertical="center"/>
    </xf>
    <xf numFmtId="0" fontId="0" fillId="43" borderId="12" xfId="0" applyFill="1" applyBorder="1" applyAlignment="1">
      <alignment horizontal="center" vertical="center"/>
    </xf>
    <xf numFmtId="0" fontId="0" fillId="43" borderId="20" xfId="0" applyFill="1" applyBorder="1" applyAlignment="1">
      <alignment horizontal="center" vertical="center"/>
    </xf>
    <xf numFmtId="0" fontId="0" fillId="43" borderId="21" xfId="0" applyFill="1" applyBorder="1" applyAlignment="1">
      <alignment horizontal="center" vertical="center"/>
    </xf>
    <xf numFmtId="0" fontId="0" fillId="43" borderId="22" xfId="0" applyFill="1" applyBorder="1" applyAlignment="1">
      <alignment horizontal="center" vertical="center"/>
    </xf>
    <xf numFmtId="0" fontId="26" fillId="39" borderId="0" xfId="0" applyFont="1" applyFill="1" applyAlignment="1">
      <alignment horizontal="center" vertical="center"/>
    </xf>
    <xf numFmtId="0" fontId="27" fillId="38" borderId="0" xfId="0" applyFont="1" applyFill="1" applyAlignment="1">
      <alignment horizontal="center"/>
    </xf>
    <xf numFmtId="0" fontId="2" fillId="35" borderId="16" xfId="0" applyFont="1" applyFill="1" applyBorder="1" applyAlignment="1">
      <alignment horizontal="center" vertical="center"/>
    </xf>
    <xf numFmtId="0" fontId="2" fillId="35" borderId="17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38" borderId="18" xfId="0" applyFill="1" applyBorder="1" applyAlignment="1">
      <alignment horizontal="center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</cellStyles>
  <dxfs count="39">
    <dxf>
      <fill>
        <patternFill>
          <bgColor theme="4"/>
        </patternFill>
      </fill>
    </dxf>
    <dxf>
      <font>
        <strike/>
        <color theme="1" tint="0.34998626667073579"/>
      </font>
    </dxf>
    <dxf>
      <fill>
        <patternFill>
          <bgColor theme="4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 tint="-0.249977111117893"/>
        <name val="Univers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 tint="-0.249977111117893"/>
        <name val="Univers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 tint="-0.249977111117893"/>
        <name val="Univers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 tint="-0.249977111117893"/>
        <name val="Univers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 tint="-0.249977111117893"/>
        <name val="Univers"/>
        <family val="2"/>
        <scheme val="minor"/>
      </font>
      <numFmt numFmtId="166" formatCode="&quot;R$&quot;\ #,##0.00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 tint="-0.249977111117893"/>
        <name val="Univers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 tint="-0.249977111117893"/>
        <name val="Univers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2E653D"/>
        <name val="Univers"/>
        <family val="2"/>
        <scheme val="none"/>
      </font>
      <fill>
        <patternFill patternType="solid">
          <fgColor rgb="FF000000"/>
          <bgColor rgb="FFDFE3E5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Amasis MT Pro Black"/>
        <family val="1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numFmt numFmtId="166" formatCode="&quot;R$&quot;\ 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 Black"/>
        <family val="1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1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Tabela de Negócios" pivot="0" count="3" xr9:uid="{00000000-0011-0000-FFFF-FFFF00000000}">
      <tableStyleElement type="wholeTable" dxfId="38"/>
      <tableStyleElement type="headerRow" dxfId="37"/>
      <tableStyleElement type="secondRowStripe" dxfId="36"/>
    </tableStyle>
    <tableStyle name="TabelaEstiloEscura9 2" pivot="0" count="7" xr9:uid="{DF16DB29-08EA-4889-A384-C667C818FC56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</tableStyles>
  <colors>
    <mruColors>
      <color rgb="FF1C31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4000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118022103384989E-2"/>
          <c:y val="4.8134829354119946E-2"/>
          <c:w val="0.87476457392722906"/>
          <c:h val="0.75383352922937141"/>
        </c:manualLayout>
      </c:layout>
      <c:lineChart>
        <c:grouping val="standard"/>
        <c:varyColors val="0"/>
        <c:ser>
          <c:idx val="0"/>
          <c:order val="0"/>
          <c:tx>
            <c:v>Planejado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3.2318063079776006E-2"/>
                  <c:y val="-7.79904671940236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15-4B31-B926-878A63C30504}"/>
                </c:ext>
              </c:extLst>
            </c:dLbl>
            <c:dLbl>
              <c:idx val="2"/>
              <c:layout>
                <c:manualLayout>
                  <c:x val="-8.2111079065158146E-2"/>
                  <c:y val="4.4724579784971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15-4B31-B926-878A63C305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'Requisitos Projeto'!$O$5:$O$8</c:f>
              <c:strCache>
                <c:ptCount val="4"/>
                <c:pt idx="0">
                  <c:v>TOTAL</c:v>
                </c:pt>
                <c:pt idx="1">
                  <c:v> 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'Requisitos Projeto'!$Q$5:$Q$8</c:f>
              <c:numCache>
                <c:formatCode>General</c:formatCode>
                <c:ptCount val="4"/>
                <c:pt idx="0">
                  <c:v>378</c:v>
                </c:pt>
                <c:pt idx="1">
                  <c:v>252</c:v>
                </c:pt>
                <c:pt idx="2">
                  <c:v>126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5-4B31-B926-878A63C30504}"/>
            </c:ext>
          </c:extLst>
        </c:ser>
        <c:ser>
          <c:idx val="1"/>
          <c:order val="1"/>
          <c:tx>
            <c:v>Entregue</c:v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7.8430180140072428E-2"/>
                  <c:y val="0.13905032485091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15-4B31-B926-878A63C30504}"/>
                </c:ext>
              </c:extLst>
            </c:dLbl>
            <c:dLbl>
              <c:idx val="2"/>
              <c:layout>
                <c:manualLayout>
                  <c:x val="4.2043530439198167E-2"/>
                  <c:y val="-7.61588993286655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C15-4B31-B926-878A63C305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'Requisitos Projeto'!$O$5:$O$8</c:f>
              <c:strCache>
                <c:ptCount val="4"/>
                <c:pt idx="0">
                  <c:v>TOTAL</c:v>
                </c:pt>
                <c:pt idx="1">
                  <c:v> 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'Requisitos Projeto'!$R$5:$R$8</c:f>
              <c:numCache>
                <c:formatCode>General</c:formatCode>
                <c:ptCount val="4"/>
                <c:pt idx="0">
                  <c:v>378</c:v>
                </c:pt>
                <c:pt idx="1">
                  <c:v>252</c:v>
                </c:pt>
                <c:pt idx="2">
                  <c:v>113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15-4B31-B926-878A63C305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5695296"/>
        <c:axId val="665697216"/>
      </c:lineChart>
      <c:catAx>
        <c:axId val="6656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5697216"/>
        <c:crosses val="autoZero"/>
        <c:auto val="1"/>
        <c:lblAlgn val="ctr"/>
        <c:lblOffset val="100"/>
        <c:noMultiLvlLbl val="0"/>
      </c:catAx>
      <c:valAx>
        <c:axId val="665697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569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393496540046806"/>
          <c:y val="0.90305842989926377"/>
          <c:w val="0.38181051209657213"/>
          <c:h val="9.0531082571982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Progresso Sprint 2 (A - 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'Planilha Requisitos SP2 (2)'!$D$59</c:f>
              <c:strCache>
                <c:ptCount val="1"/>
                <c:pt idx="0">
                  <c:v>Progresso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'Planilha Requisitos SP2 (2)'!$C$60:$C$64</c:f>
              <c:strCache>
                <c:ptCount val="5"/>
                <c:pt idx="0">
                  <c:v>TOTAL</c:v>
                </c:pt>
                <c:pt idx="1">
                  <c:v> SP2 A</c:v>
                </c:pt>
                <c:pt idx="2">
                  <c:v>SP2 B</c:v>
                </c:pt>
                <c:pt idx="3">
                  <c:v>SP2 C</c:v>
                </c:pt>
                <c:pt idx="4">
                  <c:v>SP2 D</c:v>
                </c:pt>
              </c:strCache>
            </c:strRef>
          </c:cat>
          <c:val>
            <c:numRef>
              <c:f>'Planilha Requisitos SP2 (2)'!$D$60:$D$64</c:f>
              <c:numCache>
                <c:formatCode>General</c:formatCode>
                <c:ptCount val="5"/>
                <c:pt idx="0">
                  <c:v>201</c:v>
                </c:pt>
                <c:pt idx="1">
                  <c:v>164</c:v>
                </c:pt>
                <c:pt idx="2">
                  <c:v>107</c:v>
                </c:pt>
                <c:pt idx="3">
                  <c:v>44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09-4A96-8281-E7857BEB5F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86372288"/>
        <c:axId val="1486376128"/>
      </c:lineChart>
      <c:catAx>
        <c:axId val="148637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6376128"/>
        <c:crosses val="autoZero"/>
        <c:auto val="1"/>
        <c:lblAlgn val="ctr"/>
        <c:lblOffset val="100"/>
        <c:noMultiLvlLbl val="0"/>
      </c:catAx>
      <c:valAx>
        <c:axId val="14863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637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329711</xdr:colOff>
      <xdr:row>1</xdr:row>
      <xdr:rowOff>36635</xdr:rowOff>
    </xdr:from>
    <xdr:to>
      <xdr:col>1</xdr:col>
      <xdr:colOff>4707547</xdr:colOff>
      <xdr:row>2</xdr:row>
      <xdr:rowOff>274759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BB23FAF-528E-C275-40F3-AEEF94405F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5" t="11386" r="4222" b="25275"/>
        <a:stretch>
          <a:fillRect/>
        </a:stretch>
      </xdr:blipFill>
      <xdr:spPr>
        <a:xfrm>
          <a:off x="622788" y="293077"/>
          <a:ext cx="4377836" cy="1630240"/>
        </a:xfrm>
        <a:prstGeom prst="rect">
          <a:avLst/>
        </a:prstGeom>
      </xdr:spPr>
    </xdr:pic>
    <xdr:clientData/>
  </xdr:twoCellAnchor>
  <xdr:twoCellAnchor>
    <xdr:from>
      <xdr:col>11</xdr:col>
      <xdr:colOff>71718</xdr:colOff>
      <xdr:row>13</xdr:row>
      <xdr:rowOff>119063</xdr:rowOff>
    </xdr:from>
    <xdr:to>
      <xdr:col>42</xdr:col>
      <xdr:colOff>119062</xdr:colOff>
      <xdr:row>49</xdr:row>
      <xdr:rowOff>270963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03CBDE-3A07-DA03-CC16-82CE03B37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320174</xdr:colOff>
      <xdr:row>0</xdr:row>
      <xdr:rowOff>9921</xdr:rowOff>
    </xdr:from>
    <xdr:to>
      <xdr:col>0</xdr:col>
      <xdr:colOff>3550262</xdr:colOff>
      <xdr:row>8</xdr:row>
      <xdr:rowOff>140890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F6979A-0C3B-4919-A75F-FAD8CD82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174" y="9921"/>
          <a:ext cx="3230088" cy="1664494"/>
        </a:xfrm>
        <a:prstGeom prst="rect">
          <a:avLst/>
        </a:prstGeom>
      </xdr:spPr>
    </xdr:pic>
    <xdr:clientData/>
  </xdr:twoCellAnchor>
  <xdr:twoCellAnchor>
    <xdr:from>
      <xdr:col>0</xdr:col>
      <xdr:colOff>4483257</xdr:colOff>
      <xdr:row>41</xdr:row>
      <xdr:rowOff>24151</xdr:rowOff>
    </xdr:from>
    <xdr:to>
      <xdr:col>1</xdr:col>
      <xdr:colOff>8508225</xdr:colOff>
      <xdr:row>67</xdr:row>
      <xdr:rowOff>28170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9417DC-3A42-4BC7-A301-A55460AB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4597783</xdr:colOff>
      <xdr:row>40</xdr:row>
      <xdr:rowOff>42972</xdr:rowOff>
    </xdr:from>
    <xdr:to>
      <xdr:col>1</xdr:col>
      <xdr:colOff>780622</xdr:colOff>
      <xdr:row>44</xdr:row>
      <xdr:rowOff>165650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1F1E4CE-D8E8-4A70-B26A-C8DDCFB16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783" y="9682272"/>
          <a:ext cx="1745439" cy="8846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4:H57" headerRowDxfId="28" dataDxfId="27">
  <autoFilter ref="B4:H57" xr:uid="{00000000-000C-0000-FFFF-FFFF00000000}"/>
  <sortState xmlns:xlrd2="http://schemas.microsoft.com/office/spreadsheetml/2017/richdata2" ref="B5:H53">
    <sortCondition ref="H5:H53"/>
  </sortState>
  <tableColumns count="7">
    <tableColumn id="3" xr3:uid="{00000000-0010-0000-0000-000003000000}" name="Requisito" dataDxfId="26" totalsRowDxfId="25"/>
    <tableColumn id="4" xr3:uid="{00000000-0010-0000-0000-000004000000}" name="Descrição" dataDxfId="24" totalsRowDxfId="23"/>
    <tableColumn id="5" xr3:uid="{00000000-0010-0000-0000-000005000000}" name="Classificação" dataDxfId="22" totalsRowDxfId="21"/>
    <tableColumn id="6" xr3:uid="{00000000-0010-0000-0000-000006000000}" name="Tamanho" dataDxfId="20" totalsRowDxfId="19"/>
    <tableColumn id="7" xr3:uid="{00000000-0010-0000-0000-000007000000}" name="Tam(#)" dataDxfId="18" totalsRowDxfId="17">
      <calculatedColumnFormula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calculatedColumnFormula>
    </tableColumn>
    <tableColumn id="8" xr3:uid="{00000000-0010-0000-0000-000008000000}" name="Prioridade" dataDxfId="16" totalsRowDxfId="15"/>
    <tableColumn id="9" xr3:uid="{00000000-0010-0000-0000-000009000000}" name="SPRINT" dataDxfId="14" totalsRowDxfId="13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759BF-DCCE-4953-BECF-ADBBD89465DB}" name="Tabela33" displayName="Tabela33" ref="A9:G36" totalsRowShown="0" headerRowDxfId="12" dataDxfId="11">
  <tableColumns count="7">
    <tableColumn id="1" xr3:uid="{3ABB08E5-2C9A-4690-AF45-A43E6CBFA44A}" name="Requisito" dataDxfId="10"/>
    <tableColumn id="2" xr3:uid="{39D6DADD-7441-407B-9F79-BAEBC33D5AC6}" name="Descrição" dataDxfId="9"/>
    <tableColumn id="3" xr3:uid="{073C81CA-2398-4795-BB59-552ED9C428B9}" name="Classificação" dataDxfId="8"/>
    <tableColumn id="4" xr3:uid="{72027A84-3E52-4152-8205-086C0FF73974}" name="Tamanho" dataDxfId="7"/>
    <tableColumn id="5" xr3:uid="{3E797D67-7B5C-4095-8F33-07FC6B730416}" name="Tam(#)" dataDxfId="6">
      <calculatedColumnFormula>IF(Tabela33[[#This Row],[Tamanho]]="PP",3,
IF(Tabela33[[#This Row],[Tamanho]]="P",5,
IF(Tabela33[[#This Row],[Tamanho]]="M",8,
IF(Tabela33[[#This Row],[Tamanho]]="G",13,
IF(Tabela33[[#This Row],[Tamanho]]="GG",21,0)))))</calculatedColumnFormula>
    </tableColumn>
    <tableColumn id="6" xr3:uid="{88DE098E-9146-48CA-B3AD-2D8D988F38DB}" name="Prioridade" dataDxfId="5"/>
    <tableColumn id="7" xr3:uid="{242D26B9-0ED8-43C2-9CAB-8EFFEC9D3DFD}" name="Sprin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748"/>
  <sheetViews>
    <sheetView showGridLines="0" tabSelected="1" zoomScale="19" zoomScaleNormal="53" workbookViewId="0">
      <selection activeCell="R8" sqref="R8"/>
    </sheetView>
  </sheetViews>
  <sheetFormatPr defaultColWidth="8.59765625" defaultRowHeight="24" customHeight="1" x14ac:dyDescent="0.3"/>
  <cols>
    <col min="1" max="1" width="3.69921875" style="3" customWidth="1"/>
    <col min="2" max="2" width="75.69921875" style="5" customWidth="1"/>
    <col min="3" max="3" width="138.3984375" style="5" customWidth="1"/>
    <col min="4" max="4" width="21.09765625" style="6" customWidth="1"/>
    <col min="5" max="5" width="16.69921875" style="6" customWidth="1"/>
    <col min="6" max="6" width="18.69921875" style="6" customWidth="1"/>
    <col min="7" max="7" width="22" style="6" customWidth="1"/>
    <col min="8" max="8" width="24" style="6" customWidth="1"/>
    <col min="9" max="9" width="4.09765625" style="3" customWidth="1"/>
    <col min="10" max="13" width="8.59765625" style="3"/>
    <col min="14" max="14" width="5.09765625" style="3" customWidth="1"/>
    <col min="15" max="15" width="8.59765625" style="3"/>
    <col min="16" max="16" width="20.59765625" style="3" customWidth="1"/>
    <col min="17" max="17" width="12" style="3" customWidth="1"/>
    <col min="18" max="18" width="11.59765625" style="3" customWidth="1"/>
    <col min="19" max="16384" width="8.59765625" style="3"/>
  </cols>
  <sheetData>
    <row r="1" spans="1:46" s="1" customFormat="1" ht="20.100000000000001" customHeight="1" x14ac:dyDescent="0.3">
      <c r="A1" s="21"/>
      <c r="B1" s="24"/>
      <c r="C1" s="24"/>
      <c r="D1" s="21"/>
      <c r="E1" s="25"/>
      <c r="F1" s="21"/>
      <c r="G1" s="25"/>
      <c r="H1" s="25"/>
      <c r="I1" s="21"/>
      <c r="J1" s="52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4"/>
    </row>
    <row r="2" spans="1:46" ht="110.1" customHeight="1" x14ac:dyDescent="0.3">
      <c r="A2" s="22"/>
      <c r="B2" s="66" t="s">
        <v>0</v>
      </c>
      <c r="C2" s="67"/>
      <c r="D2" s="67"/>
      <c r="E2" s="67"/>
      <c r="F2" s="67"/>
      <c r="G2" s="67"/>
      <c r="H2" s="67"/>
      <c r="I2" s="22"/>
      <c r="J2" s="55"/>
      <c r="AT2" s="56"/>
    </row>
    <row r="3" spans="1:46" ht="45.9" customHeight="1" x14ac:dyDescent="0.3">
      <c r="A3" s="22"/>
      <c r="B3" s="67"/>
      <c r="C3" s="67"/>
      <c r="D3" s="67"/>
      <c r="E3" s="67"/>
      <c r="F3" s="67"/>
      <c r="G3" s="67"/>
      <c r="H3" s="67"/>
      <c r="I3" s="22"/>
      <c r="J3" s="55"/>
      <c r="AT3" s="56"/>
    </row>
    <row r="4" spans="1:46" s="4" customFormat="1" ht="60" customHeight="1" x14ac:dyDescent="0.3">
      <c r="A4" s="23"/>
      <c r="B4" s="29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137</v>
      </c>
      <c r="I4" s="23"/>
      <c r="J4" s="57"/>
      <c r="O4" s="63"/>
      <c r="P4" s="61" t="s">
        <v>138</v>
      </c>
      <c r="Q4" s="41" t="s">
        <v>117</v>
      </c>
      <c r="R4" s="42" t="s">
        <v>115</v>
      </c>
      <c r="S4" s="70" t="s">
        <v>116</v>
      </c>
      <c r="T4" s="71"/>
      <c r="AT4" s="58"/>
    </row>
    <row r="5" spans="1:46" ht="30" customHeight="1" x14ac:dyDescent="0.3">
      <c r="A5" s="22"/>
      <c r="B5" s="15" t="s">
        <v>8</v>
      </c>
      <c r="C5" s="15" t="s">
        <v>114</v>
      </c>
      <c r="D5" s="16" t="s">
        <v>9</v>
      </c>
      <c r="E5" s="15" t="s">
        <v>10</v>
      </c>
      <c r="F5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5" s="15">
        <v>2</v>
      </c>
      <c r="H5" s="15" t="s">
        <v>11</v>
      </c>
      <c r="I5" s="22"/>
      <c r="J5" s="55"/>
      <c r="O5" s="64" t="s">
        <v>112</v>
      </c>
      <c r="P5" s="62">
        <f>SUM(F5:F56)</f>
        <v>378</v>
      </c>
      <c r="Q5" s="62">
        <f>SUM(Inventory_List_Table[Tam('#)])</f>
        <v>378</v>
      </c>
      <c r="R5" s="62">
        <v>378</v>
      </c>
      <c r="S5" s="68">
        <f>Q5-R5</f>
        <v>0</v>
      </c>
      <c r="T5" s="69"/>
      <c r="AT5" s="56"/>
    </row>
    <row r="6" spans="1:46" ht="30" customHeight="1" x14ac:dyDescent="0.3">
      <c r="A6" s="22"/>
      <c r="B6" s="7" t="s">
        <v>12</v>
      </c>
      <c r="C6" s="7" t="s">
        <v>13</v>
      </c>
      <c r="D6" s="8" t="s">
        <v>9</v>
      </c>
      <c r="E6" s="7" t="s">
        <v>10</v>
      </c>
      <c r="F6" s="9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6" s="7">
        <v>1</v>
      </c>
      <c r="H6" s="7" t="s">
        <v>11</v>
      </c>
      <c r="I6" s="22"/>
      <c r="J6" s="55"/>
      <c r="O6" s="64" t="s">
        <v>113</v>
      </c>
      <c r="P6" s="11">
        <f>SUM(F5:F19)</f>
        <v>93</v>
      </c>
      <c r="Q6" s="11">
        <v>252</v>
      </c>
      <c r="R6" s="11">
        <f>Q6</f>
        <v>252</v>
      </c>
      <c r="S6" s="68">
        <v>0</v>
      </c>
      <c r="T6" s="69"/>
      <c r="AT6" s="56"/>
    </row>
    <row r="7" spans="1:46" ht="30" customHeight="1" x14ac:dyDescent="0.3">
      <c r="A7" s="22"/>
      <c r="B7" s="15" t="s">
        <v>14</v>
      </c>
      <c r="C7" s="15" t="s">
        <v>15</v>
      </c>
      <c r="D7" s="16" t="s">
        <v>9</v>
      </c>
      <c r="E7" s="15" t="s">
        <v>16</v>
      </c>
      <c r="F7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7" s="15">
        <v>1</v>
      </c>
      <c r="H7" s="15" t="s">
        <v>11</v>
      </c>
      <c r="I7" s="22"/>
      <c r="J7" s="55"/>
      <c r="O7" s="64" t="s">
        <v>47</v>
      </c>
      <c r="P7" s="11">
        <f>SUM(F20:F46)</f>
        <v>201</v>
      </c>
      <c r="Q7" s="11">
        <v>126</v>
      </c>
      <c r="R7" s="11">
        <f>Q7-S7</f>
        <v>113</v>
      </c>
      <c r="S7" s="65">
        <v>13</v>
      </c>
      <c r="T7" s="65"/>
      <c r="AT7" s="56"/>
    </row>
    <row r="8" spans="1:46" ht="30" customHeight="1" x14ac:dyDescent="0.3">
      <c r="A8" s="22"/>
      <c r="B8" s="7" t="s">
        <v>17</v>
      </c>
      <c r="C8" s="7" t="s">
        <v>18</v>
      </c>
      <c r="D8" s="8" t="s">
        <v>9</v>
      </c>
      <c r="E8" s="7" t="s">
        <v>19</v>
      </c>
      <c r="F8" s="9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8" s="7">
        <v>2</v>
      </c>
      <c r="H8" s="7" t="s">
        <v>11</v>
      </c>
      <c r="I8" s="22"/>
      <c r="J8" s="55"/>
      <c r="O8" s="64" t="s">
        <v>95</v>
      </c>
      <c r="P8" s="11">
        <f>SUM(F47:F56)</f>
        <v>84</v>
      </c>
      <c r="Q8" s="11">
        <v>0</v>
      </c>
      <c r="R8" s="11">
        <v>0</v>
      </c>
      <c r="S8" s="65">
        <v>0</v>
      </c>
      <c r="T8" s="65"/>
      <c r="AT8" s="56"/>
    </row>
    <row r="9" spans="1:46" ht="30" customHeight="1" x14ac:dyDescent="0.3">
      <c r="A9" s="22"/>
      <c r="B9" s="15" t="s">
        <v>20</v>
      </c>
      <c r="C9" s="15" t="s">
        <v>21</v>
      </c>
      <c r="D9" s="16" t="s">
        <v>9</v>
      </c>
      <c r="E9" s="15" t="s">
        <v>19</v>
      </c>
      <c r="F9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9" s="15">
        <v>3</v>
      </c>
      <c r="H9" s="15" t="s">
        <v>11</v>
      </c>
      <c r="I9" s="22"/>
      <c r="J9" s="55"/>
      <c r="AT9" s="56"/>
    </row>
    <row r="10" spans="1:46" ht="30" customHeight="1" x14ac:dyDescent="0.3">
      <c r="A10" s="22"/>
      <c r="B10" s="7" t="s">
        <v>22</v>
      </c>
      <c r="C10" s="7" t="s">
        <v>23</v>
      </c>
      <c r="D10" s="8" t="s">
        <v>24</v>
      </c>
      <c r="E10" s="7" t="s">
        <v>19</v>
      </c>
      <c r="F10" s="9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10" s="7">
        <v>3</v>
      </c>
      <c r="H10" s="7" t="s">
        <v>11</v>
      </c>
      <c r="I10" s="22"/>
      <c r="J10" s="55"/>
      <c r="AT10" s="56"/>
    </row>
    <row r="11" spans="1:46" ht="30" customHeight="1" x14ac:dyDescent="0.3">
      <c r="A11" s="22"/>
      <c r="B11" s="15" t="s">
        <v>25</v>
      </c>
      <c r="C11" s="15" t="s">
        <v>26</v>
      </c>
      <c r="D11" s="16" t="s">
        <v>9</v>
      </c>
      <c r="E11" s="15" t="s">
        <v>10</v>
      </c>
      <c r="F11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11" s="15">
        <v>2</v>
      </c>
      <c r="H11" s="15" t="s">
        <v>11</v>
      </c>
      <c r="I11" s="22"/>
      <c r="J11" s="55"/>
      <c r="AT11" s="56"/>
    </row>
    <row r="12" spans="1:46" ht="30" customHeight="1" x14ac:dyDescent="0.3">
      <c r="A12" s="22"/>
      <c r="B12" s="7" t="s">
        <v>27</v>
      </c>
      <c r="C12" s="7" t="s">
        <v>28</v>
      </c>
      <c r="D12" s="8" t="s">
        <v>9</v>
      </c>
      <c r="E12" s="7" t="s">
        <v>29</v>
      </c>
      <c r="F12" s="9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12" s="7">
        <v>3</v>
      </c>
      <c r="H12" s="7" t="s">
        <v>11</v>
      </c>
      <c r="I12" s="22"/>
      <c r="J12" s="55"/>
      <c r="AT12" s="56"/>
    </row>
    <row r="13" spans="1:46" ht="30" customHeight="1" x14ac:dyDescent="0.3">
      <c r="A13" s="22"/>
      <c r="B13" s="15" t="s">
        <v>30</v>
      </c>
      <c r="C13" s="15" t="s">
        <v>31</v>
      </c>
      <c r="D13" s="16" t="s">
        <v>24</v>
      </c>
      <c r="E13" s="15" t="s">
        <v>16</v>
      </c>
      <c r="F13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13" s="15">
        <v>2</v>
      </c>
      <c r="H13" s="15" t="s">
        <v>11</v>
      </c>
      <c r="I13" s="22"/>
      <c r="J13" s="55"/>
      <c r="AT13" s="56"/>
    </row>
    <row r="14" spans="1:46" ht="30" customHeight="1" x14ac:dyDescent="0.3">
      <c r="A14" s="22"/>
      <c r="B14" s="7" t="s">
        <v>32</v>
      </c>
      <c r="C14" s="7" t="s">
        <v>33</v>
      </c>
      <c r="D14" s="8" t="s">
        <v>24</v>
      </c>
      <c r="E14" s="7" t="s">
        <v>10</v>
      </c>
      <c r="F14" s="9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14" s="7">
        <v>2</v>
      </c>
      <c r="H14" s="7" t="s">
        <v>11</v>
      </c>
      <c r="I14" s="22"/>
      <c r="J14" s="55"/>
      <c r="AT14" s="56"/>
    </row>
    <row r="15" spans="1:46" ht="30" customHeight="1" x14ac:dyDescent="0.3">
      <c r="A15" s="22"/>
      <c r="B15" s="15" t="s">
        <v>34</v>
      </c>
      <c r="C15" s="15" t="s">
        <v>35</v>
      </c>
      <c r="D15" s="16" t="s">
        <v>36</v>
      </c>
      <c r="E15" s="15" t="s">
        <v>29</v>
      </c>
      <c r="F15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15" s="15">
        <v>3</v>
      </c>
      <c r="H15" s="15" t="s">
        <v>11</v>
      </c>
      <c r="I15" s="22"/>
      <c r="J15" s="55"/>
      <c r="AT15" s="56"/>
    </row>
    <row r="16" spans="1:46" ht="30" customHeight="1" x14ac:dyDescent="0.3">
      <c r="A16" s="22"/>
      <c r="B16" s="7" t="s">
        <v>37</v>
      </c>
      <c r="C16" s="7" t="s">
        <v>38</v>
      </c>
      <c r="D16" s="8" t="s">
        <v>36</v>
      </c>
      <c r="E16" s="7" t="s">
        <v>29</v>
      </c>
      <c r="F16" s="9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16" s="7">
        <v>3</v>
      </c>
      <c r="H16" s="7" t="s">
        <v>11</v>
      </c>
      <c r="I16" s="22"/>
      <c r="J16" s="55"/>
      <c r="AT16" s="56"/>
    </row>
    <row r="17" spans="1:46" ht="30" customHeight="1" x14ac:dyDescent="0.3">
      <c r="A17" s="22"/>
      <c r="B17" s="15" t="s">
        <v>39</v>
      </c>
      <c r="C17" s="15" t="s">
        <v>40</v>
      </c>
      <c r="D17" s="16" t="s">
        <v>36</v>
      </c>
      <c r="E17" s="15" t="s">
        <v>29</v>
      </c>
      <c r="F17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17" s="15">
        <v>3</v>
      </c>
      <c r="H17" s="15" t="s">
        <v>11</v>
      </c>
      <c r="I17" s="22"/>
      <c r="J17" s="55"/>
      <c r="AT17" s="56"/>
    </row>
    <row r="18" spans="1:46" ht="30" customHeight="1" x14ac:dyDescent="0.3">
      <c r="A18" s="22"/>
      <c r="B18" s="7" t="s">
        <v>41</v>
      </c>
      <c r="C18" s="7" t="s">
        <v>42</v>
      </c>
      <c r="D18" s="8" t="s">
        <v>24</v>
      </c>
      <c r="E18" s="7" t="s">
        <v>10</v>
      </c>
      <c r="F18" s="9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18" s="7">
        <v>2</v>
      </c>
      <c r="H18" s="7" t="s">
        <v>11</v>
      </c>
      <c r="I18" s="22"/>
      <c r="J18" s="55"/>
      <c r="AT18" s="56"/>
    </row>
    <row r="19" spans="1:46" ht="30" customHeight="1" x14ac:dyDescent="0.3">
      <c r="A19" s="22"/>
      <c r="B19" s="15" t="s">
        <v>43</v>
      </c>
      <c r="C19" s="15" t="s">
        <v>44</v>
      </c>
      <c r="D19" s="16" t="s">
        <v>9</v>
      </c>
      <c r="E19" s="15" t="s">
        <v>10</v>
      </c>
      <c r="F19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19" s="15">
        <v>1</v>
      </c>
      <c r="H19" s="15" t="s">
        <v>11</v>
      </c>
      <c r="I19" s="22"/>
      <c r="J19" s="55"/>
      <c r="AT19" s="56"/>
    </row>
    <row r="20" spans="1:46" ht="30" customHeight="1" x14ac:dyDescent="0.3">
      <c r="A20" s="22"/>
      <c r="B20" s="48" t="s">
        <v>45</v>
      </c>
      <c r="C20" s="48" t="s">
        <v>46</v>
      </c>
      <c r="D20" s="49" t="s">
        <v>9</v>
      </c>
      <c r="E20" s="48" t="s">
        <v>19</v>
      </c>
      <c r="F20" s="5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20" s="48">
        <v>1</v>
      </c>
      <c r="H20" s="48" t="s">
        <v>47</v>
      </c>
      <c r="I20" s="22"/>
      <c r="J20" s="55"/>
      <c r="AT20" s="56"/>
    </row>
    <row r="21" spans="1:46" ht="30" customHeight="1" x14ac:dyDescent="0.3">
      <c r="A21" s="22"/>
      <c r="B21" s="15" t="s">
        <v>48</v>
      </c>
      <c r="C21" s="15" t="s">
        <v>49</v>
      </c>
      <c r="D21" s="16" t="s">
        <v>9</v>
      </c>
      <c r="E21" s="15" t="s">
        <v>16</v>
      </c>
      <c r="F21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21" s="15">
        <v>1</v>
      </c>
      <c r="H21" s="15" t="s">
        <v>47</v>
      </c>
      <c r="I21" s="22"/>
      <c r="J21" s="55"/>
      <c r="AT21" s="56"/>
    </row>
    <row r="22" spans="1:46" ht="30" customHeight="1" x14ac:dyDescent="0.3">
      <c r="A22" s="22"/>
      <c r="B22" s="18" t="s">
        <v>50</v>
      </c>
      <c r="C22" s="18" t="s">
        <v>51</v>
      </c>
      <c r="D22" s="19" t="s">
        <v>36</v>
      </c>
      <c r="E22" s="18" t="s">
        <v>16</v>
      </c>
      <c r="F22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22" s="18">
        <v>2</v>
      </c>
      <c r="H22" s="18" t="s">
        <v>47</v>
      </c>
      <c r="I22" s="22"/>
      <c r="J22" s="55"/>
      <c r="AT22" s="56"/>
    </row>
    <row r="23" spans="1:46" ht="30" customHeight="1" x14ac:dyDescent="0.3">
      <c r="A23" s="22"/>
      <c r="B23" s="15" t="s">
        <v>52</v>
      </c>
      <c r="C23" s="15" t="s">
        <v>53</v>
      </c>
      <c r="D23" s="16" t="s">
        <v>24</v>
      </c>
      <c r="E23" s="15" t="s">
        <v>19</v>
      </c>
      <c r="F23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23" s="15">
        <v>2</v>
      </c>
      <c r="H23" s="15" t="s">
        <v>47</v>
      </c>
      <c r="I23" s="22"/>
      <c r="J23" s="55"/>
      <c r="AT23" s="56"/>
    </row>
    <row r="24" spans="1:46" ht="30" customHeight="1" x14ac:dyDescent="0.3">
      <c r="A24" s="22"/>
      <c r="B24" s="18" t="s">
        <v>54</v>
      </c>
      <c r="C24" s="18" t="s">
        <v>55</v>
      </c>
      <c r="D24" s="19" t="s">
        <v>9</v>
      </c>
      <c r="E24" s="18" t="s">
        <v>10</v>
      </c>
      <c r="F24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24" s="18">
        <v>1</v>
      </c>
      <c r="H24" s="18" t="s">
        <v>47</v>
      </c>
      <c r="I24" s="22"/>
      <c r="J24" s="55"/>
      <c r="AT24" s="56"/>
    </row>
    <row r="25" spans="1:46" ht="30" customHeight="1" x14ac:dyDescent="0.3">
      <c r="A25" s="22"/>
      <c r="B25" s="15" t="s">
        <v>56</v>
      </c>
      <c r="C25" s="15" t="s">
        <v>57</v>
      </c>
      <c r="D25" s="16" t="s">
        <v>24</v>
      </c>
      <c r="E25" s="15" t="s">
        <v>16</v>
      </c>
      <c r="F25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25" s="15">
        <v>2</v>
      </c>
      <c r="H25" s="15" t="s">
        <v>47</v>
      </c>
      <c r="I25" s="22"/>
      <c r="J25" s="55"/>
      <c r="AT25" s="56"/>
    </row>
    <row r="26" spans="1:46" ht="30" customHeight="1" x14ac:dyDescent="0.3">
      <c r="A26" s="22"/>
      <c r="B26" s="18" t="s">
        <v>129</v>
      </c>
      <c r="C26" s="18" t="s">
        <v>130</v>
      </c>
      <c r="D26" s="19" t="s">
        <v>128</v>
      </c>
      <c r="E26" s="18" t="s">
        <v>29</v>
      </c>
      <c r="F26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26" s="18">
        <v>1</v>
      </c>
      <c r="H26" s="18" t="s">
        <v>47</v>
      </c>
      <c r="I26" s="22"/>
      <c r="J26" s="55"/>
      <c r="AT26" s="56"/>
    </row>
    <row r="27" spans="1:46" ht="30" customHeight="1" x14ac:dyDescent="0.3">
      <c r="A27" s="22"/>
      <c r="B27" s="31" t="s">
        <v>125</v>
      </c>
      <c r="C27" s="31" t="s">
        <v>126</v>
      </c>
      <c r="D27" s="32" t="s">
        <v>9</v>
      </c>
      <c r="E27" s="31" t="s">
        <v>29</v>
      </c>
      <c r="F27" s="33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27" s="31">
        <v>3</v>
      </c>
      <c r="H27" s="31" t="s">
        <v>127</v>
      </c>
      <c r="I27" s="22"/>
      <c r="J27" s="55"/>
      <c r="AT27" s="56"/>
    </row>
    <row r="28" spans="1:46" ht="30" customHeight="1" x14ac:dyDescent="0.3">
      <c r="A28" s="22"/>
      <c r="B28" s="18" t="s">
        <v>58</v>
      </c>
      <c r="C28" s="18" t="s">
        <v>59</v>
      </c>
      <c r="D28" s="19" t="s">
        <v>24</v>
      </c>
      <c r="E28" s="18" t="s">
        <v>16</v>
      </c>
      <c r="F28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28" s="18">
        <v>1</v>
      </c>
      <c r="H28" s="18" t="s">
        <v>47</v>
      </c>
      <c r="I28" s="22"/>
      <c r="J28" s="55"/>
      <c r="AT28" s="56"/>
    </row>
    <row r="29" spans="1:46" ht="30" customHeight="1" x14ac:dyDescent="0.3">
      <c r="A29" s="22"/>
      <c r="B29" s="15" t="s">
        <v>60</v>
      </c>
      <c r="C29" s="15" t="s">
        <v>61</v>
      </c>
      <c r="D29" s="16" t="s">
        <v>9</v>
      </c>
      <c r="E29" s="15" t="s">
        <v>19</v>
      </c>
      <c r="F29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29" s="15">
        <v>3</v>
      </c>
      <c r="H29" s="15" t="s">
        <v>47</v>
      </c>
      <c r="I29" s="22"/>
      <c r="J29" s="55"/>
      <c r="AT29" s="56"/>
    </row>
    <row r="30" spans="1:46" ht="30" customHeight="1" x14ac:dyDescent="0.3">
      <c r="A30" s="22"/>
      <c r="B30" s="18" t="s">
        <v>62</v>
      </c>
      <c r="C30" s="18" t="s">
        <v>131</v>
      </c>
      <c r="D30" s="19" t="s">
        <v>9</v>
      </c>
      <c r="E30" s="18" t="s">
        <v>29</v>
      </c>
      <c r="F30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0" s="18">
        <v>2</v>
      </c>
      <c r="H30" s="18" t="s">
        <v>47</v>
      </c>
      <c r="I30" s="22"/>
      <c r="J30" s="55"/>
      <c r="AT30" s="56"/>
    </row>
    <row r="31" spans="1:46" ht="30" customHeight="1" x14ac:dyDescent="0.3">
      <c r="A31" s="22"/>
      <c r="B31" s="15" t="s">
        <v>63</v>
      </c>
      <c r="C31" s="15" t="s">
        <v>64</v>
      </c>
      <c r="D31" s="16" t="s">
        <v>24</v>
      </c>
      <c r="E31" s="15" t="s">
        <v>16</v>
      </c>
      <c r="F31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31" s="15">
        <v>2</v>
      </c>
      <c r="H31" s="15" t="s">
        <v>47</v>
      </c>
      <c r="I31" s="22"/>
      <c r="J31" s="55"/>
      <c r="AT31" s="56"/>
    </row>
    <row r="32" spans="1:46" ht="30" customHeight="1" x14ac:dyDescent="0.3">
      <c r="A32" s="22"/>
      <c r="B32" s="18" t="s">
        <v>65</v>
      </c>
      <c r="C32" s="18" t="s">
        <v>66</v>
      </c>
      <c r="D32" s="19" t="s">
        <v>24</v>
      </c>
      <c r="E32" s="18" t="s">
        <v>16</v>
      </c>
      <c r="F32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32" s="18">
        <v>2</v>
      </c>
      <c r="H32" s="18" t="s">
        <v>47</v>
      </c>
      <c r="I32" s="22"/>
      <c r="J32" s="55"/>
      <c r="AT32" s="56"/>
    </row>
    <row r="33" spans="1:46" ht="30" customHeight="1" x14ac:dyDescent="0.3">
      <c r="A33" s="22"/>
      <c r="B33" s="15" t="s">
        <v>67</v>
      </c>
      <c r="C33" s="15" t="s">
        <v>68</v>
      </c>
      <c r="D33" s="16" t="s">
        <v>9</v>
      </c>
      <c r="E33" s="15" t="s">
        <v>16</v>
      </c>
      <c r="F33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33" s="15">
        <v>3</v>
      </c>
      <c r="H33" s="15" t="s">
        <v>47</v>
      </c>
      <c r="I33" s="22"/>
      <c r="J33" s="55"/>
      <c r="AT33" s="56"/>
    </row>
    <row r="34" spans="1:46" ht="30" customHeight="1" x14ac:dyDescent="0.3">
      <c r="A34" s="22"/>
      <c r="B34" s="18" t="s">
        <v>69</v>
      </c>
      <c r="C34" s="18" t="s">
        <v>70</v>
      </c>
      <c r="D34" s="19" t="s">
        <v>24</v>
      </c>
      <c r="E34" s="18" t="s">
        <v>16</v>
      </c>
      <c r="F34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34" s="18">
        <v>1</v>
      </c>
      <c r="H34" s="18" t="s">
        <v>47</v>
      </c>
      <c r="I34" s="22"/>
      <c r="J34" s="55"/>
      <c r="AT34" s="56"/>
    </row>
    <row r="35" spans="1:46" ht="30" customHeight="1" x14ac:dyDescent="0.3">
      <c r="A35" s="22"/>
      <c r="B35" s="15" t="s">
        <v>71</v>
      </c>
      <c r="C35" s="15" t="s">
        <v>72</v>
      </c>
      <c r="D35" s="16" t="s">
        <v>24</v>
      </c>
      <c r="E35" s="15" t="s">
        <v>29</v>
      </c>
      <c r="F35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5" s="15">
        <v>1</v>
      </c>
      <c r="H35" s="15" t="s">
        <v>47</v>
      </c>
      <c r="I35" s="22"/>
      <c r="J35" s="55"/>
      <c r="AT35" s="56"/>
    </row>
    <row r="36" spans="1:46" ht="30" customHeight="1" x14ac:dyDescent="0.3">
      <c r="A36" s="22"/>
      <c r="B36" s="18" t="s">
        <v>73</v>
      </c>
      <c r="C36" s="18" t="s">
        <v>74</v>
      </c>
      <c r="D36" s="19" t="s">
        <v>24</v>
      </c>
      <c r="E36" s="18" t="s">
        <v>29</v>
      </c>
      <c r="F36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6" s="18">
        <v>3</v>
      </c>
      <c r="H36" s="18" t="s">
        <v>47</v>
      </c>
      <c r="I36" s="22"/>
      <c r="J36" s="55"/>
      <c r="AT36" s="56"/>
    </row>
    <row r="37" spans="1:46" ht="30" customHeight="1" x14ac:dyDescent="0.3">
      <c r="A37" s="22"/>
      <c r="B37" s="15" t="s">
        <v>75</v>
      </c>
      <c r="C37" s="15" t="s">
        <v>76</v>
      </c>
      <c r="D37" s="16" t="s">
        <v>24</v>
      </c>
      <c r="E37" s="15" t="s">
        <v>29</v>
      </c>
      <c r="F37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7" s="15">
        <v>1</v>
      </c>
      <c r="H37" s="15" t="s">
        <v>47</v>
      </c>
      <c r="I37" s="22"/>
      <c r="J37" s="55"/>
      <c r="AT37" s="56"/>
    </row>
    <row r="38" spans="1:46" ht="30" customHeight="1" x14ac:dyDescent="0.3">
      <c r="A38" s="22"/>
      <c r="B38" s="18" t="s">
        <v>77</v>
      </c>
      <c r="C38" s="18" t="s">
        <v>78</v>
      </c>
      <c r="D38" s="19" t="s">
        <v>36</v>
      </c>
      <c r="E38" s="18" t="s">
        <v>29</v>
      </c>
      <c r="F38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8" s="18">
        <v>2</v>
      </c>
      <c r="H38" s="18" t="s">
        <v>47</v>
      </c>
      <c r="I38" s="22"/>
      <c r="J38" s="55"/>
      <c r="AT38" s="56"/>
    </row>
    <row r="39" spans="1:46" ht="30" customHeight="1" x14ac:dyDescent="0.3">
      <c r="A39" s="22"/>
      <c r="B39" s="15" t="s">
        <v>79</v>
      </c>
      <c r="C39" s="15" t="s">
        <v>80</v>
      </c>
      <c r="D39" s="16" t="s">
        <v>24</v>
      </c>
      <c r="E39" s="15" t="s">
        <v>29</v>
      </c>
      <c r="F39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9" s="15">
        <v>3</v>
      </c>
      <c r="H39" s="15" t="s">
        <v>47</v>
      </c>
      <c r="I39" s="22"/>
      <c r="J39" s="55"/>
      <c r="AT39" s="56"/>
    </row>
    <row r="40" spans="1:46" ht="30" customHeight="1" x14ac:dyDescent="0.3">
      <c r="A40" s="22"/>
      <c r="B40" s="18" t="s">
        <v>81</v>
      </c>
      <c r="C40" s="18" t="s">
        <v>82</v>
      </c>
      <c r="D40" s="19" t="s">
        <v>9</v>
      </c>
      <c r="E40" s="18" t="s">
        <v>16</v>
      </c>
      <c r="F40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40" s="18">
        <v>3</v>
      </c>
      <c r="H40" s="18" t="s">
        <v>47</v>
      </c>
      <c r="I40" s="22"/>
      <c r="J40" s="55"/>
      <c r="AT40" s="56"/>
    </row>
    <row r="41" spans="1:46" ht="30" customHeight="1" x14ac:dyDescent="0.3">
      <c r="A41" s="22"/>
      <c r="B41" s="15" t="s">
        <v>83</v>
      </c>
      <c r="C41" s="15" t="s">
        <v>84</v>
      </c>
      <c r="D41" s="16" t="s">
        <v>9</v>
      </c>
      <c r="E41" s="15" t="s">
        <v>10</v>
      </c>
      <c r="F41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41" s="15">
        <v>2</v>
      </c>
      <c r="H41" s="15" t="s">
        <v>47</v>
      </c>
      <c r="I41" s="22"/>
      <c r="J41" s="55"/>
      <c r="AT41" s="56"/>
    </row>
    <row r="42" spans="1:46" ht="30" customHeight="1" x14ac:dyDescent="0.3">
      <c r="A42" s="22"/>
      <c r="B42" s="18" t="s">
        <v>85</v>
      </c>
      <c r="C42" s="18" t="s">
        <v>86</v>
      </c>
      <c r="D42" s="19" t="s">
        <v>9</v>
      </c>
      <c r="E42" s="18" t="s">
        <v>19</v>
      </c>
      <c r="F42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42" s="18">
        <v>3</v>
      </c>
      <c r="H42" s="18" t="s">
        <v>47</v>
      </c>
      <c r="I42" s="22"/>
      <c r="J42" s="55"/>
      <c r="AT42" s="56"/>
    </row>
    <row r="43" spans="1:46" ht="30" customHeight="1" x14ac:dyDescent="0.3">
      <c r="A43" s="22"/>
      <c r="B43" s="15" t="s">
        <v>132</v>
      </c>
      <c r="C43" s="15" t="s">
        <v>87</v>
      </c>
      <c r="D43" s="16" t="s">
        <v>24</v>
      </c>
      <c r="E43" s="15" t="s">
        <v>19</v>
      </c>
      <c r="F43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43" s="15">
        <v>3</v>
      </c>
      <c r="H43" s="15" t="s">
        <v>47</v>
      </c>
      <c r="I43" s="22"/>
      <c r="J43" s="55"/>
      <c r="AT43" s="56"/>
    </row>
    <row r="44" spans="1:46" ht="30" customHeight="1" x14ac:dyDescent="0.3">
      <c r="A44" s="22"/>
      <c r="B44" s="18" t="s">
        <v>88</v>
      </c>
      <c r="C44" s="18" t="s">
        <v>89</v>
      </c>
      <c r="D44" s="19" t="s">
        <v>24</v>
      </c>
      <c r="E44" s="18" t="s">
        <v>16</v>
      </c>
      <c r="F44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44" s="18">
        <v>3</v>
      </c>
      <c r="H44" s="18" t="s">
        <v>47</v>
      </c>
      <c r="I44" s="22"/>
      <c r="J44" s="55"/>
      <c r="AT44" s="56"/>
    </row>
    <row r="45" spans="1:46" ht="30" customHeight="1" x14ac:dyDescent="0.3">
      <c r="A45" s="22"/>
      <c r="B45" s="15" t="s">
        <v>90</v>
      </c>
      <c r="C45" s="15" t="s">
        <v>91</v>
      </c>
      <c r="D45" s="16" t="s">
        <v>24</v>
      </c>
      <c r="E45" s="15" t="s">
        <v>29</v>
      </c>
      <c r="F45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45" s="15">
        <v>2</v>
      </c>
      <c r="H45" s="15" t="s">
        <v>47</v>
      </c>
      <c r="I45" s="22"/>
      <c r="J45" s="55"/>
      <c r="AT45" s="56"/>
    </row>
    <row r="46" spans="1:46" ht="30" customHeight="1" x14ac:dyDescent="0.3">
      <c r="A46" s="22"/>
      <c r="B46" s="18" t="s">
        <v>92</v>
      </c>
      <c r="C46" s="18" t="s">
        <v>93</v>
      </c>
      <c r="D46" s="19" t="s">
        <v>24</v>
      </c>
      <c r="E46" s="18" t="s">
        <v>29</v>
      </c>
      <c r="F46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46" s="18">
        <v>2</v>
      </c>
      <c r="H46" s="18" t="s">
        <v>47</v>
      </c>
      <c r="I46" s="22"/>
      <c r="J46" s="55"/>
      <c r="AT46" s="56"/>
    </row>
    <row r="47" spans="1:46" ht="30" customHeight="1" x14ac:dyDescent="0.3">
      <c r="A47" s="22"/>
      <c r="B47" s="15" t="s">
        <v>94</v>
      </c>
      <c r="C47" s="15" t="s">
        <v>133</v>
      </c>
      <c r="D47" s="16" t="s">
        <v>36</v>
      </c>
      <c r="E47" s="15" t="s">
        <v>10</v>
      </c>
      <c r="F47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47" s="15">
        <v>3</v>
      </c>
      <c r="H47" s="15" t="s">
        <v>95</v>
      </c>
      <c r="I47" s="22"/>
      <c r="J47" s="55"/>
      <c r="AT47" s="56"/>
    </row>
    <row r="48" spans="1:46" ht="30" customHeight="1" x14ac:dyDescent="0.3">
      <c r="A48" s="22"/>
      <c r="B48" s="18" t="s">
        <v>96</v>
      </c>
      <c r="C48" s="18" t="s">
        <v>97</v>
      </c>
      <c r="D48" s="19" t="s">
        <v>24</v>
      </c>
      <c r="E48" s="18" t="s">
        <v>16</v>
      </c>
      <c r="F48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48" s="18">
        <v>3</v>
      </c>
      <c r="H48" s="18" t="s">
        <v>95</v>
      </c>
      <c r="I48" s="22"/>
      <c r="J48" s="55"/>
      <c r="AT48" s="56"/>
    </row>
    <row r="49" spans="1:46" ht="30" customHeight="1" x14ac:dyDescent="0.3">
      <c r="A49" s="22"/>
      <c r="B49" s="15" t="s">
        <v>98</v>
      </c>
      <c r="C49" s="15" t="s">
        <v>99</v>
      </c>
      <c r="D49" s="16" t="s">
        <v>24</v>
      </c>
      <c r="E49" s="15" t="s">
        <v>16</v>
      </c>
      <c r="F49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49" s="15">
        <v>3</v>
      </c>
      <c r="H49" s="15" t="s">
        <v>95</v>
      </c>
      <c r="I49" s="22"/>
      <c r="J49" s="55"/>
      <c r="AT49" s="56"/>
    </row>
    <row r="50" spans="1:46" ht="30" customHeight="1" x14ac:dyDescent="0.3">
      <c r="A50" s="22"/>
      <c r="B50" s="18" t="s">
        <v>100</v>
      </c>
      <c r="C50" s="18" t="s">
        <v>101</v>
      </c>
      <c r="D50" s="19" t="s">
        <v>9</v>
      </c>
      <c r="E50" s="18" t="s">
        <v>19</v>
      </c>
      <c r="F50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50" s="18">
        <v>3</v>
      </c>
      <c r="H50" s="18" t="s">
        <v>95</v>
      </c>
      <c r="I50" s="22"/>
      <c r="J50" s="55"/>
      <c r="AT50" s="56"/>
    </row>
    <row r="51" spans="1:46" ht="30" customHeight="1" x14ac:dyDescent="0.3">
      <c r="A51" s="22"/>
      <c r="B51" s="15" t="s">
        <v>102</v>
      </c>
      <c r="C51" s="15" t="s">
        <v>103</v>
      </c>
      <c r="D51" s="16" t="s">
        <v>24</v>
      </c>
      <c r="E51" s="15" t="s">
        <v>16</v>
      </c>
      <c r="F51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51" s="15">
        <v>3</v>
      </c>
      <c r="H51" s="15" t="s">
        <v>95</v>
      </c>
      <c r="I51" s="22"/>
      <c r="J51" s="55"/>
      <c r="AT51" s="56"/>
    </row>
    <row r="52" spans="1:46" ht="30" customHeight="1" x14ac:dyDescent="0.3">
      <c r="A52" s="22"/>
      <c r="B52" s="18" t="s">
        <v>104</v>
      </c>
      <c r="C52" s="18" t="s">
        <v>105</v>
      </c>
      <c r="D52" s="19" t="s">
        <v>9</v>
      </c>
      <c r="E52" s="18" t="s">
        <v>16</v>
      </c>
      <c r="F52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52" s="18">
        <v>3</v>
      </c>
      <c r="H52" s="18" t="s">
        <v>95</v>
      </c>
      <c r="I52" s="22"/>
      <c r="J52" s="55"/>
      <c r="AT52" s="56"/>
    </row>
    <row r="53" spans="1:46" ht="30" customHeight="1" x14ac:dyDescent="0.3">
      <c r="A53" s="22"/>
      <c r="B53" s="15" t="s">
        <v>106</v>
      </c>
      <c r="C53" s="15" t="s">
        <v>107</v>
      </c>
      <c r="D53" s="16" t="s">
        <v>9</v>
      </c>
      <c r="E53" s="15" t="s">
        <v>29</v>
      </c>
      <c r="F53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53" s="15">
        <v>3</v>
      </c>
      <c r="H53" s="15" t="s">
        <v>95</v>
      </c>
      <c r="I53" s="22"/>
      <c r="J53" s="55"/>
      <c r="AT53" s="56"/>
    </row>
    <row r="54" spans="1:46" ht="30" customHeight="1" x14ac:dyDescent="0.3">
      <c r="A54" s="22"/>
      <c r="B54" s="18" t="s">
        <v>108</v>
      </c>
      <c r="C54" s="18" t="s">
        <v>108</v>
      </c>
      <c r="D54" s="19" t="s">
        <v>9</v>
      </c>
      <c r="E54" s="18" t="s">
        <v>29</v>
      </c>
      <c r="F54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54" s="18">
        <v>2</v>
      </c>
      <c r="H54" s="18" t="s">
        <v>95</v>
      </c>
      <c r="I54" s="22"/>
      <c r="J54" s="55"/>
      <c r="AT54" s="56"/>
    </row>
    <row r="55" spans="1:46" ht="30" customHeight="1" x14ac:dyDescent="0.3">
      <c r="A55" s="22"/>
      <c r="B55" s="15" t="s">
        <v>109</v>
      </c>
      <c r="C55" s="15" t="s">
        <v>110</v>
      </c>
      <c r="D55" s="16" t="s">
        <v>36</v>
      </c>
      <c r="E55" s="15" t="s">
        <v>19</v>
      </c>
      <c r="F55" s="17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55" s="15">
        <v>3</v>
      </c>
      <c r="H55" s="15" t="s">
        <v>95</v>
      </c>
      <c r="I55" s="22"/>
      <c r="J55" s="55"/>
      <c r="AT55" s="56"/>
    </row>
    <row r="56" spans="1:46" ht="30" customHeight="1" x14ac:dyDescent="0.3">
      <c r="A56" s="22"/>
      <c r="B56" s="18" t="s">
        <v>111</v>
      </c>
      <c r="C56" s="18" t="s">
        <v>111</v>
      </c>
      <c r="D56" s="19" t="s">
        <v>36</v>
      </c>
      <c r="E56" s="18" t="s">
        <v>19</v>
      </c>
      <c r="F56" s="20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56" s="18">
        <v>2</v>
      </c>
      <c r="H56" s="18" t="s">
        <v>95</v>
      </c>
      <c r="I56" s="22"/>
      <c r="J56" s="55"/>
      <c r="AT56" s="56"/>
    </row>
    <row r="57" spans="1:46" ht="30" customHeight="1" x14ac:dyDescent="0.3">
      <c r="A57" s="22"/>
      <c r="B57" s="26"/>
      <c r="C57" s="26"/>
      <c r="D57" s="27"/>
      <c r="E57" s="27"/>
      <c r="F57" s="27"/>
      <c r="G57" s="27"/>
      <c r="H57" s="27"/>
      <c r="I57" s="22"/>
      <c r="J57" s="59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60"/>
    </row>
    <row r="58" spans="1:46" ht="30" customHeight="1" x14ac:dyDescent="0.3">
      <c r="B58" s="3"/>
      <c r="C58" s="3"/>
      <c r="D58" s="3"/>
      <c r="E58" s="3"/>
      <c r="F58" s="3"/>
      <c r="G58" s="3"/>
      <c r="H58" s="3"/>
    </row>
    <row r="59" spans="1:46" ht="30" customHeight="1" x14ac:dyDescent="0.3">
      <c r="B59" s="3"/>
      <c r="C59" s="3"/>
      <c r="D59" s="3"/>
      <c r="E59" s="3"/>
      <c r="F59" s="3"/>
      <c r="G59" s="3"/>
      <c r="H59" s="3"/>
    </row>
    <row r="60" spans="1:46" ht="30" customHeight="1" x14ac:dyDescent="0.3">
      <c r="B60" s="3"/>
      <c r="C60" s="3"/>
      <c r="D60" s="3"/>
      <c r="E60" s="3"/>
      <c r="F60" s="3"/>
      <c r="G60" s="3"/>
      <c r="H60" s="3"/>
    </row>
    <row r="61" spans="1:46" ht="30" customHeight="1" x14ac:dyDescent="0.3">
      <c r="B61" s="3"/>
      <c r="C61" s="3"/>
      <c r="D61" s="3"/>
      <c r="E61" s="3"/>
      <c r="F61" s="3"/>
      <c r="G61" s="3"/>
      <c r="H61" s="3"/>
    </row>
    <row r="62" spans="1:46" ht="30" customHeight="1" x14ac:dyDescent="0.3">
      <c r="B62" s="3"/>
      <c r="C62" s="3"/>
      <c r="D62" s="3"/>
      <c r="E62" s="3"/>
      <c r="F62" s="3"/>
      <c r="G62" s="3"/>
      <c r="H62" s="3"/>
    </row>
    <row r="63" spans="1:46" ht="30" customHeight="1" x14ac:dyDescent="0.3">
      <c r="B63" s="3"/>
      <c r="C63" s="3"/>
      <c r="D63" s="3"/>
      <c r="E63" s="3"/>
      <c r="F63" s="3"/>
      <c r="G63" s="3"/>
      <c r="H63" s="3"/>
    </row>
    <row r="64" spans="1:46" ht="30" customHeight="1" x14ac:dyDescent="0.3">
      <c r="B64" s="3"/>
      <c r="C64" s="3"/>
      <c r="D64" s="3"/>
      <c r="E64" s="3"/>
      <c r="F64" s="3"/>
      <c r="G64" s="3"/>
      <c r="H64" s="3"/>
    </row>
    <row r="65" s="3" customFormat="1" ht="30" customHeight="1" x14ac:dyDescent="0.3"/>
    <row r="66" s="3" customFormat="1" ht="30" customHeight="1" x14ac:dyDescent="0.3"/>
    <row r="67" s="3" customFormat="1" ht="30" customHeight="1" x14ac:dyDescent="0.3"/>
    <row r="68" s="3" customFormat="1" ht="30" customHeight="1" x14ac:dyDescent="0.3"/>
    <row r="69" s="3" customFormat="1" ht="30" customHeight="1" x14ac:dyDescent="0.3"/>
    <row r="70" s="3" customFormat="1" ht="30" customHeight="1" x14ac:dyDescent="0.3"/>
    <row r="71" s="3" customFormat="1" ht="30" customHeight="1" x14ac:dyDescent="0.3"/>
    <row r="72" s="3" customFormat="1" ht="30" customHeight="1" x14ac:dyDescent="0.3"/>
    <row r="73" s="3" customFormat="1" ht="30" customHeight="1" x14ac:dyDescent="0.3"/>
    <row r="74" s="3" customFormat="1" ht="30" customHeight="1" x14ac:dyDescent="0.3"/>
    <row r="75" s="3" customFormat="1" ht="30" customHeight="1" x14ac:dyDescent="0.3"/>
    <row r="76" s="3" customFormat="1" ht="30" customHeight="1" x14ac:dyDescent="0.3"/>
    <row r="77" s="3" customFormat="1" ht="30" customHeight="1" x14ac:dyDescent="0.3"/>
    <row r="78" s="3" customFormat="1" ht="30" customHeight="1" x14ac:dyDescent="0.3"/>
    <row r="79" s="3" customFormat="1" ht="30" customHeight="1" x14ac:dyDescent="0.3"/>
    <row r="80" s="3" customFormat="1" ht="30" customHeight="1" x14ac:dyDescent="0.3"/>
    <row r="81" s="3" customFormat="1" ht="30" customHeight="1" x14ac:dyDescent="0.3"/>
    <row r="82" s="3" customFormat="1" ht="30" customHeight="1" x14ac:dyDescent="0.3"/>
    <row r="83" s="3" customFormat="1" ht="30" customHeight="1" x14ac:dyDescent="0.3"/>
    <row r="84" s="3" customFormat="1" ht="30" customHeight="1" x14ac:dyDescent="0.3"/>
    <row r="85" s="3" customFormat="1" ht="30" customHeight="1" x14ac:dyDescent="0.3"/>
    <row r="86" s="3" customFormat="1" ht="30" customHeight="1" x14ac:dyDescent="0.3"/>
    <row r="87" s="3" customFormat="1" ht="30" customHeight="1" x14ac:dyDescent="0.3"/>
    <row r="88" s="3" customFormat="1" ht="30" customHeight="1" x14ac:dyDescent="0.3"/>
    <row r="89" s="3" customFormat="1" ht="30" customHeight="1" x14ac:dyDescent="0.3"/>
    <row r="90" s="3" customFormat="1" ht="30" customHeight="1" x14ac:dyDescent="0.3"/>
    <row r="91" s="3" customFormat="1" ht="30" customHeight="1" x14ac:dyDescent="0.3"/>
    <row r="92" s="3" customFormat="1" ht="30" customHeight="1" x14ac:dyDescent="0.3"/>
    <row r="93" s="3" customFormat="1" ht="30" customHeight="1" x14ac:dyDescent="0.3"/>
    <row r="94" s="3" customFormat="1" ht="30" customHeight="1" x14ac:dyDescent="0.3"/>
    <row r="95" s="3" customFormat="1" ht="30" customHeight="1" x14ac:dyDescent="0.3"/>
    <row r="96" s="3" customFormat="1" ht="30" customHeight="1" x14ac:dyDescent="0.3"/>
    <row r="97" spans="2:8" ht="30" customHeight="1" x14ac:dyDescent="0.3">
      <c r="B97" s="3"/>
      <c r="C97" s="3"/>
      <c r="D97" s="3"/>
      <c r="E97" s="3"/>
      <c r="F97" s="3"/>
      <c r="G97" s="3"/>
      <c r="H97" s="3"/>
    </row>
    <row r="98" spans="2:8" ht="24" customHeight="1" x14ac:dyDescent="0.3">
      <c r="B98" s="3"/>
      <c r="C98" s="3"/>
      <c r="D98" s="3"/>
      <c r="E98" s="3"/>
      <c r="F98" s="3"/>
      <c r="G98" s="3"/>
      <c r="H98" s="3"/>
    </row>
    <row r="99" spans="2:8" ht="24" customHeight="1" x14ac:dyDescent="0.3">
      <c r="C99" s="3"/>
      <c r="D99" s="3"/>
      <c r="E99" s="3"/>
      <c r="F99" s="3"/>
      <c r="G99" s="3"/>
      <c r="H99" s="3"/>
    </row>
    <row r="100" spans="2:8" ht="24" customHeight="1" x14ac:dyDescent="0.3">
      <c r="B100" s="3"/>
      <c r="C100" s="3"/>
      <c r="D100" s="3"/>
      <c r="E100" s="3"/>
      <c r="F100" s="3"/>
      <c r="G100" s="3"/>
      <c r="H100" s="3"/>
    </row>
    <row r="101" spans="2:8" ht="24" customHeight="1" x14ac:dyDescent="0.3">
      <c r="B101" s="3"/>
      <c r="C101" s="3"/>
      <c r="D101" s="3"/>
      <c r="E101" s="3"/>
      <c r="F101" s="3"/>
      <c r="G101" s="3"/>
      <c r="H101" s="3"/>
    </row>
    <row r="102" spans="2:8" ht="24" customHeight="1" x14ac:dyDescent="0.3">
      <c r="B102" s="3"/>
      <c r="C102" s="3"/>
      <c r="D102" s="3"/>
      <c r="E102" s="3"/>
      <c r="F102" s="3"/>
      <c r="G102" s="3"/>
      <c r="H102" s="3"/>
    </row>
    <row r="103" spans="2:8" ht="24" customHeight="1" x14ac:dyDescent="0.3">
      <c r="B103" s="3"/>
      <c r="C103" s="3"/>
      <c r="D103" s="3"/>
      <c r="E103" s="3"/>
      <c r="F103" s="3"/>
      <c r="G103" s="3"/>
      <c r="H103" s="3"/>
    </row>
    <row r="104" spans="2:8" ht="24" customHeight="1" x14ac:dyDescent="0.3">
      <c r="B104" s="3"/>
      <c r="C104" s="3"/>
      <c r="D104" s="3"/>
      <c r="E104" s="3"/>
      <c r="F104" s="3"/>
      <c r="G104" s="3"/>
      <c r="H104" s="3"/>
    </row>
    <row r="105" spans="2:8" ht="24" customHeight="1" x14ac:dyDescent="0.3">
      <c r="B105" s="3"/>
      <c r="C105" s="3"/>
      <c r="D105" s="3"/>
      <c r="E105" s="3"/>
      <c r="F105" s="3"/>
      <c r="G105" s="3"/>
      <c r="H105" s="3"/>
    </row>
    <row r="106" spans="2:8" ht="24" customHeight="1" x14ac:dyDescent="0.3">
      <c r="B106" s="3"/>
      <c r="C106" s="3"/>
      <c r="D106" s="3"/>
      <c r="E106" s="3"/>
      <c r="F106" s="3"/>
      <c r="G106" s="3"/>
      <c r="H106" s="3"/>
    </row>
    <row r="107" spans="2:8" ht="3.75" customHeight="1" x14ac:dyDescent="0.3">
      <c r="B107" s="3"/>
      <c r="C107" s="3"/>
      <c r="D107" s="3"/>
      <c r="E107" s="3"/>
      <c r="F107" s="3"/>
      <c r="G107" s="3"/>
      <c r="H107" s="3"/>
    </row>
    <row r="108" spans="2:8" ht="24" customHeight="1" x14ac:dyDescent="0.3">
      <c r="B108" s="3"/>
      <c r="C108" s="3"/>
      <c r="D108" s="3"/>
      <c r="E108" s="3"/>
      <c r="F108" s="3"/>
      <c r="G108" s="3"/>
      <c r="H108" s="3"/>
    </row>
    <row r="109" spans="2:8" ht="24" customHeight="1" x14ac:dyDescent="0.3">
      <c r="B109" s="3"/>
      <c r="C109" s="3"/>
      <c r="D109" s="3"/>
      <c r="E109" s="3"/>
      <c r="F109" s="3"/>
      <c r="G109" s="3"/>
      <c r="H109" s="3"/>
    </row>
    <row r="110" spans="2:8" ht="24" customHeight="1" x14ac:dyDescent="0.3">
      <c r="B110" s="3"/>
      <c r="C110" s="3"/>
      <c r="D110" s="3"/>
      <c r="E110" s="3"/>
      <c r="F110" s="3"/>
      <c r="G110" s="3"/>
      <c r="H110" s="3"/>
    </row>
    <row r="111" spans="2:8" ht="24" customHeight="1" x14ac:dyDescent="0.3">
      <c r="B111" s="3"/>
      <c r="C111" s="3"/>
      <c r="D111" s="3"/>
      <c r="E111" s="3"/>
      <c r="F111" s="3"/>
      <c r="G111" s="3"/>
      <c r="H111" s="3"/>
    </row>
    <row r="112" spans="2:8" ht="24" customHeight="1" x14ac:dyDescent="0.3">
      <c r="B112" s="3"/>
      <c r="C112" s="3"/>
      <c r="D112" s="3"/>
      <c r="E112" s="3"/>
      <c r="F112" s="3"/>
      <c r="G112" s="3"/>
      <c r="H112" s="3"/>
    </row>
    <row r="113" s="3" customFormat="1" ht="24" customHeight="1" x14ac:dyDescent="0.3"/>
    <row r="114" s="3" customFormat="1" ht="24" customHeight="1" x14ac:dyDescent="0.3"/>
    <row r="115" s="3" customFormat="1" ht="24" customHeight="1" x14ac:dyDescent="0.3"/>
    <row r="116" s="3" customFormat="1" ht="24" customHeight="1" x14ac:dyDescent="0.3"/>
    <row r="117" s="3" customFormat="1" ht="24" customHeight="1" x14ac:dyDescent="0.3"/>
    <row r="118" s="3" customFormat="1" ht="24" customHeight="1" x14ac:dyDescent="0.3"/>
    <row r="119" s="3" customFormat="1" ht="24" customHeight="1" x14ac:dyDescent="0.3"/>
    <row r="120" s="3" customFormat="1" ht="24" customHeight="1" x14ac:dyDescent="0.3"/>
    <row r="121" s="3" customFormat="1" ht="24" customHeight="1" x14ac:dyDescent="0.3"/>
    <row r="122" s="3" customFormat="1" ht="24" customHeight="1" x14ac:dyDescent="0.3"/>
    <row r="123" s="3" customFormat="1" ht="24" customHeight="1" x14ac:dyDescent="0.3"/>
    <row r="124" s="3" customFormat="1" ht="24" customHeight="1" x14ac:dyDescent="0.3"/>
    <row r="125" s="3" customFormat="1" ht="24" customHeight="1" x14ac:dyDescent="0.3"/>
    <row r="126" s="3" customFormat="1" ht="24" customHeight="1" x14ac:dyDescent="0.3"/>
    <row r="127" s="3" customFormat="1" ht="24" customHeight="1" x14ac:dyDescent="0.3"/>
    <row r="128" s="3" customFormat="1" ht="24" customHeight="1" x14ac:dyDescent="0.3"/>
    <row r="129" s="3" customFormat="1" ht="24" customHeight="1" x14ac:dyDescent="0.3"/>
    <row r="130" s="3" customFormat="1" ht="24" customHeight="1" x14ac:dyDescent="0.3"/>
    <row r="131" s="3" customFormat="1" ht="24" customHeight="1" x14ac:dyDescent="0.3"/>
    <row r="132" s="3" customFormat="1" ht="24" customHeight="1" x14ac:dyDescent="0.3"/>
    <row r="133" s="3" customFormat="1" ht="24" customHeight="1" x14ac:dyDescent="0.3"/>
    <row r="134" s="3" customFormat="1" ht="24" customHeight="1" x14ac:dyDescent="0.3"/>
    <row r="135" s="3" customFormat="1" ht="24" customHeight="1" x14ac:dyDescent="0.3"/>
    <row r="136" s="3" customFormat="1" ht="24" customHeight="1" x14ac:dyDescent="0.3"/>
    <row r="137" s="3" customFormat="1" ht="24" customHeight="1" x14ac:dyDescent="0.3"/>
    <row r="138" s="3" customFormat="1" ht="24" customHeight="1" x14ac:dyDescent="0.3"/>
    <row r="139" s="3" customFormat="1" ht="24" customHeight="1" x14ac:dyDescent="0.3"/>
    <row r="140" s="3" customFormat="1" ht="24" customHeight="1" x14ac:dyDescent="0.3"/>
    <row r="141" s="3" customFormat="1" ht="24" customHeight="1" x14ac:dyDescent="0.3"/>
    <row r="142" s="3" customFormat="1" ht="24" customHeight="1" x14ac:dyDescent="0.3"/>
    <row r="143" s="3" customFormat="1" ht="24" customHeight="1" x14ac:dyDescent="0.3"/>
    <row r="144" s="3" customFormat="1" ht="24" customHeight="1" x14ac:dyDescent="0.3"/>
    <row r="145" s="3" customFormat="1" ht="24" customHeight="1" x14ac:dyDescent="0.3"/>
    <row r="146" s="3" customFormat="1" ht="24" customHeight="1" x14ac:dyDescent="0.3"/>
    <row r="147" s="3" customFormat="1" ht="24" customHeight="1" x14ac:dyDescent="0.3"/>
    <row r="148" s="3" customFormat="1" ht="24" customHeight="1" x14ac:dyDescent="0.3"/>
    <row r="149" s="3" customFormat="1" ht="24" customHeight="1" x14ac:dyDescent="0.3"/>
    <row r="150" s="3" customFormat="1" ht="24" customHeight="1" x14ac:dyDescent="0.3"/>
    <row r="151" s="3" customFormat="1" ht="24" customHeight="1" x14ac:dyDescent="0.3"/>
    <row r="152" s="3" customFormat="1" ht="24" customHeight="1" x14ac:dyDescent="0.3"/>
    <row r="153" s="3" customFormat="1" ht="24" customHeight="1" x14ac:dyDescent="0.3"/>
    <row r="154" s="3" customFormat="1" ht="24" customHeight="1" x14ac:dyDescent="0.3"/>
    <row r="155" s="3" customFormat="1" ht="24" customHeight="1" x14ac:dyDescent="0.3"/>
    <row r="156" s="3" customFormat="1" ht="24" customHeight="1" x14ac:dyDescent="0.3"/>
    <row r="157" s="3" customFormat="1" ht="24" customHeight="1" x14ac:dyDescent="0.3"/>
    <row r="158" s="3" customFormat="1" ht="24" customHeight="1" x14ac:dyDescent="0.3"/>
    <row r="159" s="3" customFormat="1" ht="24" customHeight="1" x14ac:dyDescent="0.3"/>
    <row r="160" s="3" customFormat="1" ht="24" customHeight="1" x14ac:dyDescent="0.3"/>
    <row r="161" s="3" customFormat="1" ht="24" customHeight="1" x14ac:dyDescent="0.3"/>
    <row r="162" s="3" customFormat="1" ht="24" customHeight="1" x14ac:dyDescent="0.3"/>
    <row r="163" s="3" customFormat="1" ht="24" customHeight="1" x14ac:dyDescent="0.3"/>
    <row r="164" s="3" customFormat="1" ht="24" customHeight="1" x14ac:dyDescent="0.3"/>
    <row r="165" s="3" customFormat="1" ht="24" customHeight="1" x14ac:dyDescent="0.3"/>
    <row r="166" s="3" customFormat="1" ht="24" customHeight="1" x14ac:dyDescent="0.3"/>
    <row r="167" s="3" customFormat="1" ht="24" customHeight="1" x14ac:dyDescent="0.3"/>
    <row r="168" s="3" customFormat="1" ht="24" customHeight="1" x14ac:dyDescent="0.3"/>
    <row r="169" s="3" customFormat="1" ht="24" customHeight="1" x14ac:dyDescent="0.3"/>
    <row r="170" s="3" customFormat="1" ht="24" customHeight="1" x14ac:dyDescent="0.3"/>
    <row r="171" s="3" customFormat="1" ht="24" customHeight="1" x14ac:dyDescent="0.3"/>
    <row r="172" s="3" customFormat="1" ht="24" customHeight="1" x14ac:dyDescent="0.3"/>
    <row r="173" s="3" customFormat="1" ht="24" customHeight="1" x14ac:dyDescent="0.3"/>
    <row r="174" s="3" customFormat="1" ht="24" customHeight="1" x14ac:dyDescent="0.3"/>
    <row r="175" s="3" customFormat="1" ht="24" customHeight="1" x14ac:dyDescent="0.3"/>
    <row r="176" s="3" customFormat="1" ht="24" customHeight="1" x14ac:dyDescent="0.3"/>
    <row r="177" s="3" customFormat="1" ht="24" customHeight="1" x14ac:dyDescent="0.3"/>
    <row r="178" s="3" customFormat="1" ht="24" customHeight="1" x14ac:dyDescent="0.3"/>
    <row r="179" s="3" customFormat="1" ht="24" customHeight="1" x14ac:dyDescent="0.3"/>
    <row r="180" s="3" customFormat="1" ht="24" customHeight="1" x14ac:dyDescent="0.3"/>
    <row r="181" s="3" customFormat="1" ht="24" customHeight="1" x14ac:dyDescent="0.3"/>
    <row r="182" s="3" customFormat="1" ht="24" customHeight="1" x14ac:dyDescent="0.3"/>
    <row r="183" s="3" customFormat="1" ht="24" customHeight="1" x14ac:dyDescent="0.3"/>
    <row r="184" s="3" customFormat="1" ht="24" customHeight="1" x14ac:dyDescent="0.3"/>
    <row r="185" s="3" customFormat="1" ht="24" customHeight="1" x14ac:dyDescent="0.3"/>
    <row r="186" s="3" customFormat="1" ht="24" customHeight="1" x14ac:dyDescent="0.3"/>
    <row r="187" s="3" customFormat="1" ht="24" customHeight="1" x14ac:dyDescent="0.3"/>
    <row r="188" s="3" customFormat="1" ht="24" customHeight="1" x14ac:dyDescent="0.3"/>
    <row r="189" s="3" customFormat="1" ht="24" customHeight="1" x14ac:dyDescent="0.3"/>
    <row r="190" s="3" customFormat="1" ht="24" customHeight="1" x14ac:dyDescent="0.3"/>
    <row r="191" s="3" customFormat="1" ht="24" customHeight="1" x14ac:dyDescent="0.3"/>
    <row r="192" s="3" customFormat="1" ht="24" customHeight="1" x14ac:dyDescent="0.3"/>
    <row r="193" s="3" customFormat="1" ht="24" customHeight="1" x14ac:dyDescent="0.3"/>
    <row r="194" s="3" customFormat="1" ht="24" customHeight="1" x14ac:dyDescent="0.3"/>
    <row r="195" s="3" customFormat="1" ht="24" customHeight="1" x14ac:dyDescent="0.3"/>
    <row r="196" s="3" customFormat="1" ht="24" customHeight="1" x14ac:dyDescent="0.3"/>
    <row r="197" s="3" customFormat="1" ht="24" customHeight="1" x14ac:dyDescent="0.3"/>
    <row r="198" s="3" customFormat="1" ht="24" customHeight="1" x14ac:dyDescent="0.3"/>
    <row r="199" s="3" customFormat="1" ht="24" customHeight="1" x14ac:dyDescent="0.3"/>
    <row r="200" s="3" customFormat="1" ht="24" customHeight="1" x14ac:dyDescent="0.3"/>
    <row r="201" s="3" customFormat="1" ht="24" customHeight="1" x14ac:dyDescent="0.3"/>
    <row r="202" s="3" customFormat="1" ht="24" customHeight="1" x14ac:dyDescent="0.3"/>
    <row r="203" s="3" customFormat="1" ht="24" customHeight="1" x14ac:dyDescent="0.3"/>
    <row r="204" s="3" customFormat="1" ht="24" customHeight="1" x14ac:dyDescent="0.3"/>
    <row r="205" s="3" customFormat="1" ht="24" customHeight="1" x14ac:dyDescent="0.3"/>
    <row r="206" s="3" customFormat="1" ht="24" customHeight="1" x14ac:dyDescent="0.3"/>
    <row r="207" s="3" customFormat="1" ht="24" customHeight="1" x14ac:dyDescent="0.3"/>
    <row r="208" s="3" customFormat="1" ht="24" customHeight="1" x14ac:dyDescent="0.3"/>
    <row r="209" s="3" customFormat="1" ht="24" customHeight="1" x14ac:dyDescent="0.3"/>
    <row r="210" s="3" customFormat="1" ht="24" customHeight="1" x14ac:dyDescent="0.3"/>
    <row r="211" s="3" customFormat="1" ht="24" customHeight="1" x14ac:dyDescent="0.3"/>
    <row r="212" s="3" customFormat="1" ht="24" customHeight="1" x14ac:dyDescent="0.3"/>
    <row r="213" s="3" customFormat="1" ht="24" customHeight="1" x14ac:dyDescent="0.3"/>
    <row r="214" s="3" customFormat="1" ht="24" customHeight="1" x14ac:dyDescent="0.3"/>
    <row r="215" s="3" customFormat="1" ht="24" customHeight="1" x14ac:dyDescent="0.3"/>
    <row r="216" s="3" customFormat="1" ht="24" customHeight="1" x14ac:dyDescent="0.3"/>
    <row r="217" s="3" customFormat="1" ht="24" customHeight="1" x14ac:dyDescent="0.3"/>
    <row r="218" s="3" customFormat="1" ht="24" customHeight="1" x14ac:dyDescent="0.3"/>
    <row r="219" s="3" customFormat="1" ht="24" customHeight="1" x14ac:dyDescent="0.3"/>
    <row r="220" s="3" customFormat="1" ht="24" customHeight="1" x14ac:dyDescent="0.3"/>
    <row r="221" s="3" customFormat="1" ht="24" customHeight="1" x14ac:dyDescent="0.3"/>
    <row r="222" s="3" customFormat="1" ht="24" customHeight="1" x14ac:dyDescent="0.3"/>
    <row r="223" s="3" customFormat="1" ht="24" customHeight="1" x14ac:dyDescent="0.3"/>
    <row r="224" s="3" customFormat="1" ht="24" customHeight="1" x14ac:dyDescent="0.3"/>
    <row r="225" s="3" customFormat="1" ht="24" customHeight="1" x14ac:dyDescent="0.3"/>
    <row r="226" s="3" customFormat="1" ht="24" customHeight="1" x14ac:dyDescent="0.3"/>
    <row r="227" s="3" customFormat="1" ht="24" customHeight="1" x14ac:dyDescent="0.3"/>
    <row r="228" s="3" customFormat="1" ht="24" customHeight="1" x14ac:dyDescent="0.3"/>
    <row r="229" s="3" customFormat="1" ht="24" customHeight="1" x14ac:dyDescent="0.3"/>
    <row r="230" s="3" customFormat="1" ht="24" customHeight="1" x14ac:dyDescent="0.3"/>
    <row r="231" s="3" customFormat="1" ht="24" customHeight="1" x14ac:dyDescent="0.3"/>
    <row r="232" s="3" customFormat="1" ht="24" customHeight="1" x14ac:dyDescent="0.3"/>
    <row r="233" s="3" customFormat="1" ht="24" customHeight="1" x14ac:dyDescent="0.3"/>
    <row r="234" s="3" customFormat="1" ht="24" customHeight="1" x14ac:dyDescent="0.3"/>
    <row r="235" s="3" customFormat="1" ht="24" customHeight="1" x14ac:dyDescent="0.3"/>
    <row r="236" s="3" customFormat="1" ht="24" customHeight="1" x14ac:dyDescent="0.3"/>
    <row r="237" s="3" customFormat="1" ht="24" customHeight="1" x14ac:dyDescent="0.3"/>
    <row r="238" s="3" customFormat="1" ht="24" customHeight="1" x14ac:dyDescent="0.3"/>
    <row r="239" s="3" customFormat="1" ht="24" customHeight="1" x14ac:dyDescent="0.3"/>
    <row r="240" s="3" customFormat="1" ht="24" customHeight="1" x14ac:dyDescent="0.3"/>
    <row r="241" s="3" customFormat="1" ht="24" customHeight="1" x14ac:dyDescent="0.3"/>
    <row r="242" s="3" customFormat="1" ht="24" customHeight="1" x14ac:dyDescent="0.3"/>
    <row r="243" s="3" customFormat="1" ht="24" customHeight="1" x14ac:dyDescent="0.3"/>
    <row r="244" s="3" customFormat="1" ht="24" customHeight="1" x14ac:dyDescent="0.3"/>
    <row r="245" s="3" customFormat="1" ht="24" customHeight="1" x14ac:dyDescent="0.3"/>
    <row r="246" s="3" customFormat="1" ht="24" customHeight="1" x14ac:dyDescent="0.3"/>
    <row r="247" s="3" customFormat="1" ht="24" customHeight="1" x14ac:dyDescent="0.3"/>
    <row r="248" s="3" customFormat="1" ht="24" customHeight="1" x14ac:dyDescent="0.3"/>
    <row r="249" s="3" customFormat="1" ht="24" customHeight="1" x14ac:dyDescent="0.3"/>
    <row r="250" s="3" customFormat="1" ht="24" customHeight="1" x14ac:dyDescent="0.3"/>
    <row r="251" s="3" customFormat="1" ht="24" customHeight="1" x14ac:dyDescent="0.3"/>
    <row r="252" s="3" customFormat="1" ht="24" customHeight="1" x14ac:dyDescent="0.3"/>
    <row r="253" s="3" customFormat="1" ht="24" customHeight="1" x14ac:dyDescent="0.3"/>
    <row r="254" s="3" customFormat="1" ht="24" customHeight="1" x14ac:dyDescent="0.3"/>
    <row r="255" s="3" customFormat="1" ht="24" customHeight="1" x14ac:dyDescent="0.3"/>
    <row r="256" s="3" customFormat="1" ht="24" customHeight="1" x14ac:dyDescent="0.3"/>
    <row r="257" s="3" customFormat="1" ht="24" customHeight="1" x14ac:dyDescent="0.3"/>
    <row r="258" s="3" customFormat="1" ht="24" customHeight="1" x14ac:dyDescent="0.3"/>
    <row r="259" s="3" customFormat="1" ht="24" customHeight="1" x14ac:dyDescent="0.3"/>
    <row r="260" s="3" customFormat="1" ht="24" customHeight="1" x14ac:dyDescent="0.3"/>
    <row r="261" s="3" customFormat="1" ht="24" customHeight="1" x14ac:dyDescent="0.3"/>
    <row r="262" s="3" customFormat="1" ht="24" customHeight="1" x14ac:dyDescent="0.3"/>
    <row r="263" s="3" customFormat="1" ht="24" customHeight="1" x14ac:dyDescent="0.3"/>
    <row r="264" s="3" customFormat="1" ht="24" customHeight="1" x14ac:dyDescent="0.3"/>
    <row r="265" s="3" customFormat="1" ht="24" customHeight="1" x14ac:dyDescent="0.3"/>
    <row r="266" s="3" customFormat="1" ht="24" customHeight="1" x14ac:dyDescent="0.3"/>
    <row r="267" s="3" customFormat="1" ht="24" customHeight="1" x14ac:dyDescent="0.3"/>
    <row r="268" s="3" customFormat="1" ht="24" customHeight="1" x14ac:dyDescent="0.3"/>
    <row r="269" s="3" customFormat="1" ht="24" customHeight="1" x14ac:dyDescent="0.3"/>
    <row r="270" s="3" customFormat="1" ht="24" customHeight="1" x14ac:dyDescent="0.3"/>
    <row r="271" s="3" customFormat="1" ht="24" customHeight="1" x14ac:dyDescent="0.3"/>
    <row r="272" s="3" customFormat="1" ht="24" customHeight="1" x14ac:dyDescent="0.3"/>
    <row r="273" s="3" customFormat="1" ht="24" customHeight="1" x14ac:dyDescent="0.3"/>
    <row r="274" s="3" customFormat="1" ht="24" customHeight="1" x14ac:dyDescent="0.3"/>
    <row r="275" s="3" customFormat="1" ht="24" customHeight="1" x14ac:dyDescent="0.3"/>
    <row r="276" s="3" customFormat="1" ht="24" customHeight="1" x14ac:dyDescent="0.3"/>
    <row r="277" s="3" customFormat="1" ht="24" customHeight="1" x14ac:dyDescent="0.3"/>
    <row r="278" s="3" customFormat="1" ht="24" customHeight="1" x14ac:dyDescent="0.3"/>
    <row r="279" s="3" customFormat="1" ht="24" customHeight="1" x14ac:dyDescent="0.3"/>
    <row r="280" s="3" customFormat="1" ht="24" customHeight="1" x14ac:dyDescent="0.3"/>
    <row r="281" s="3" customFormat="1" ht="24" customHeight="1" x14ac:dyDescent="0.3"/>
    <row r="282" s="3" customFormat="1" ht="24" customHeight="1" x14ac:dyDescent="0.3"/>
    <row r="283" s="3" customFormat="1" ht="24" customHeight="1" x14ac:dyDescent="0.3"/>
    <row r="284" s="3" customFormat="1" ht="24" customHeight="1" x14ac:dyDescent="0.3"/>
    <row r="285" s="3" customFormat="1" ht="24" customHeight="1" x14ac:dyDescent="0.3"/>
    <row r="286" s="3" customFormat="1" ht="24" customHeight="1" x14ac:dyDescent="0.3"/>
    <row r="287" s="3" customFormat="1" ht="24" customHeight="1" x14ac:dyDescent="0.3"/>
    <row r="288" s="3" customFormat="1" ht="24" customHeight="1" x14ac:dyDescent="0.3"/>
    <row r="289" s="3" customFormat="1" ht="24" customHeight="1" x14ac:dyDescent="0.3"/>
    <row r="290" s="3" customFormat="1" ht="24" customHeight="1" x14ac:dyDescent="0.3"/>
    <row r="291" s="3" customFormat="1" ht="24" customHeight="1" x14ac:dyDescent="0.3"/>
    <row r="292" s="3" customFormat="1" ht="24" customHeight="1" x14ac:dyDescent="0.3"/>
    <row r="293" s="3" customFormat="1" ht="24" customHeight="1" x14ac:dyDescent="0.3"/>
    <row r="294" s="3" customFormat="1" ht="24" customHeight="1" x14ac:dyDescent="0.3"/>
    <row r="295" s="3" customFormat="1" ht="24" customHeight="1" x14ac:dyDescent="0.3"/>
    <row r="296" s="3" customFormat="1" ht="24" customHeight="1" x14ac:dyDescent="0.3"/>
    <row r="297" s="3" customFormat="1" ht="24" customHeight="1" x14ac:dyDescent="0.3"/>
    <row r="298" s="3" customFormat="1" ht="24" customHeight="1" x14ac:dyDescent="0.3"/>
    <row r="299" s="3" customFormat="1" ht="24" customHeight="1" x14ac:dyDescent="0.3"/>
    <row r="300" s="3" customFormat="1" ht="24" customHeight="1" x14ac:dyDescent="0.3"/>
    <row r="301" s="3" customFormat="1" ht="24" customHeight="1" x14ac:dyDescent="0.3"/>
    <row r="302" s="3" customFormat="1" ht="24" customHeight="1" x14ac:dyDescent="0.3"/>
    <row r="303" s="3" customFormat="1" ht="24" customHeight="1" x14ac:dyDescent="0.3"/>
    <row r="304" s="3" customFormat="1" ht="24" customHeight="1" x14ac:dyDescent="0.3"/>
    <row r="305" s="3" customFormat="1" ht="24" customHeight="1" x14ac:dyDescent="0.3"/>
    <row r="306" s="3" customFormat="1" ht="24" customHeight="1" x14ac:dyDescent="0.3"/>
    <row r="307" s="3" customFormat="1" ht="24" customHeight="1" x14ac:dyDescent="0.3"/>
    <row r="308" s="3" customFormat="1" ht="24" customHeight="1" x14ac:dyDescent="0.3"/>
    <row r="309" s="3" customFormat="1" ht="24" customHeight="1" x14ac:dyDescent="0.3"/>
    <row r="310" s="3" customFormat="1" ht="24" customHeight="1" x14ac:dyDescent="0.3"/>
    <row r="311" s="3" customFormat="1" ht="24" customHeight="1" x14ac:dyDescent="0.3"/>
    <row r="312" s="3" customFormat="1" ht="24" customHeight="1" x14ac:dyDescent="0.3"/>
    <row r="313" s="3" customFormat="1" ht="24" customHeight="1" x14ac:dyDescent="0.3"/>
    <row r="314" s="3" customFormat="1" ht="24" customHeight="1" x14ac:dyDescent="0.3"/>
    <row r="315" s="3" customFormat="1" ht="24" customHeight="1" x14ac:dyDescent="0.3"/>
    <row r="316" s="3" customFormat="1" ht="24" customHeight="1" x14ac:dyDescent="0.3"/>
    <row r="317" s="3" customFormat="1" ht="24" customHeight="1" x14ac:dyDescent="0.3"/>
    <row r="318" s="3" customFormat="1" ht="24" customHeight="1" x14ac:dyDescent="0.3"/>
    <row r="319" s="3" customFormat="1" ht="24" customHeight="1" x14ac:dyDescent="0.3"/>
    <row r="320" s="3" customFormat="1" ht="24" customHeight="1" x14ac:dyDescent="0.3"/>
    <row r="321" s="3" customFormat="1" ht="24" customHeight="1" x14ac:dyDescent="0.3"/>
    <row r="322" s="3" customFormat="1" ht="24" customHeight="1" x14ac:dyDescent="0.3"/>
    <row r="323" s="3" customFormat="1" ht="24" customHeight="1" x14ac:dyDescent="0.3"/>
    <row r="324" s="3" customFormat="1" ht="24" customHeight="1" x14ac:dyDescent="0.3"/>
    <row r="325" s="3" customFormat="1" ht="24" customHeight="1" x14ac:dyDescent="0.3"/>
    <row r="326" s="3" customFormat="1" ht="24" customHeight="1" x14ac:dyDescent="0.3"/>
    <row r="327" s="3" customFormat="1" ht="24" customHeight="1" x14ac:dyDescent="0.3"/>
    <row r="328" s="3" customFormat="1" ht="24" customHeight="1" x14ac:dyDescent="0.3"/>
    <row r="329" s="3" customFormat="1" ht="24" customHeight="1" x14ac:dyDescent="0.3"/>
    <row r="330" s="3" customFormat="1" ht="24" customHeight="1" x14ac:dyDescent="0.3"/>
    <row r="331" s="3" customFormat="1" ht="24" customHeight="1" x14ac:dyDescent="0.3"/>
    <row r="332" s="3" customFormat="1" ht="24" customHeight="1" x14ac:dyDescent="0.3"/>
    <row r="333" s="3" customFormat="1" ht="24" customHeight="1" x14ac:dyDescent="0.3"/>
    <row r="334" s="3" customFormat="1" ht="24" customHeight="1" x14ac:dyDescent="0.3"/>
    <row r="335" s="3" customFormat="1" ht="24" customHeight="1" x14ac:dyDescent="0.3"/>
    <row r="336" s="3" customFormat="1" ht="24" customHeight="1" x14ac:dyDescent="0.3"/>
    <row r="337" s="3" customFormat="1" ht="24" customHeight="1" x14ac:dyDescent="0.3"/>
    <row r="338" s="3" customFormat="1" ht="24" customHeight="1" x14ac:dyDescent="0.3"/>
    <row r="339" s="3" customFormat="1" ht="24" customHeight="1" x14ac:dyDescent="0.3"/>
    <row r="340" s="3" customFormat="1" ht="24" customHeight="1" x14ac:dyDescent="0.3"/>
    <row r="341" s="3" customFormat="1" ht="24" customHeight="1" x14ac:dyDescent="0.3"/>
    <row r="342" s="3" customFormat="1" ht="24" customHeight="1" x14ac:dyDescent="0.3"/>
    <row r="343" s="3" customFormat="1" ht="24" customHeight="1" x14ac:dyDescent="0.3"/>
    <row r="344" s="3" customFormat="1" ht="24" customHeight="1" x14ac:dyDescent="0.3"/>
    <row r="345" s="3" customFormat="1" ht="24" customHeight="1" x14ac:dyDescent="0.3"/>
    <row r="346" s="3" customFormat="1" ht="24" customHeight="1" x14ac:dyDescent="0.3"/>
    <row r="347" s="3" customFormat="1" ht="24" customHeight="1" x14ac:dyDescent="0.3"/>
    <row r="348" s="3" customFormat="1" ht="24" customHeight="1" x14ac:dyDescent="0.3"/>
    <row r="349" s="3" customFormat="1" ht="24" customHeight="1" x14ac:dyDescent="0.3"/>
    <row r="350" s="3" customFormat="1" ht="24" customHeight="1" x14ac:dyDescent="0.3"/>
    <row r="351" s="3" customFormat="1" ht="24" customHeight="1" x14ac:dyDescent="0.3"/>
    <row r="352" s="3" customFormat="1" ht="24" customHeight="1" x14ac:dyDescent="0.3"/>
    <row r="353" s="3" customFormat="1" ht="24" customHeight="1" x14ac:dyDescent="0.3"/>
    <row r="354" s="3" customFormat="1" ht="24" customHeight="1" x14ac:dyDescent="0.3"/>
    <row r="355" s="3" customFormat="1" ht="24" customHeight="1" x14ac:dyDescent="0.3"/>
    <row r="356" s="3" customFormat="1" ht="24" customHeight="1" x14ac:dyDescent="0.3"/>
    <row r="357" s="3" customFormat="1" ht="24" customHeight="1" x14ac:dyDescent="0.3"/>
    <row r="358" s="3" customFormat="1" ht="24" customHeight="1" x14ac:dyDescent="0.3"/>
    <row r="359" s="3" customFormat="1" ht="24" customHeight="1" x14ac:dyDescent="0.3"/>
    <row r="360" s="3" customFormat="1" ht="24" customHeight="1" x14ac:dyDescent="0.3"/>
    <row r="361" s="3" customFormat="1" ht="24" customHeight="1" x14ac:dyDescent="0.3"/>
    <row r="362" s="3" customFormat="1" ht="24" customHeight="1" x14ac:dyDescent="0.3"/>
    <row r="363" s="3" customFormat="1" ht="24" customHeight="1" x14ac:dyDescent="0.3"/>
    <row r="364" s="3" customFormat="1" ht="24" customHeight="1" x14ac:dyDescent="0.3"/>
    <row r="365" s="3" customFormat="1" ht="24" customHeight="1" x14ac:dyDescent="0.3"/>
    <row r="366" s="3" customFormat="1" ht="24" customHeight="1" x14ac:dyDescent="0.3"/>
    <row r="367" s="3" customFormat="1" ht="24" customHeight="1" x14ac:dyDescent="0.3"/>
    <row r="368" s="3" customFormat="1" ht="24" customHeight="1" x14ac:dyDescent="0.3"/>
    <row r="369" s="3" customFormat="1" ht="24" customHeight="1" x14ac:dyDescent="0.3"/>
    <row r="370" s="3" customFormat="1" ht="24" customHeight="1" x14ac:dyDescent="0.3"/>
    <row r="371" s="3" customFormat="1" ht="24" customHeight="1" x14ac:dyDescent="0.3"/>
    <row r="372" s="3" customFormat="1" ht="24" customHeight="1" x14ac:dyDescent="0.3"/>
    <row r="373" s="3" customFormat="1" ht="24" customHeight="1" x14ac:dyDescent="0.3"/>
    <row r="374" s="3" customFormat="1" ht="24" customHeight="1" x14ac:dyDescent="0.3"/>
    <row r="375" s="3" customFormat="1" ht="24" customHeight="1" x14ac:dyDescent="0.3"/>
    <row r="376" s="3" customFormat="1" ht="24" customHeight="1" x14ac:dyDescent="0.3"/>
    <row r="377" s="3" customFormat="1" ht="24" customHeight="1" x14ac:dyDescent="0.3"/>
    <row r="378" s="3" customFormat="1" ht="24" customHeight="1" x14ac:dyDescent="0.3"/>
    <row r="379" s="3" customFormat="1" ht="24" customHeight="1" x14ac:dyDescent="0.3"/>
    <row r="380" s="3" customFormat="1" ht="24" customHeight="1" x14ac:dyDescent="0.3"/>
    <row r="381" s="3" customFormat="1" ht="24" customHeight="1" x14ac:dyDescent="0.3"/>
    <row r="382" s="3" customFormat="1" ht="24" customHeight="1" x14ac:dyDescent="0.3"/>
    <row r="383" s="3" customFormat="1" ht="24" customHeight="1" x14ac:dyDescent="0.3"/>
    <row r="384" s="3" customFormat="1" ht="24" customHeight="1" x14ac:dyDescent="0.3"/>
    <row r="385" s="3" customFormat="1" ht="24" customHeight="1" x14ac:dyDescent="0.3"/>
    <row r="386" s="3" customFormat="1" ht="24" customHeight="1" x14ac:dyDescent="0.3"/>
    <row r="387" s="3" customFormat="1" ht="24" customHeight="1" x14ac:dyDescent="0.3"/>
    <row r="388" s="3" customFormat="1" ht="24" customHeight="1" x14ac:dyDescent="0.3"/>
    <row r="389" s="3" customFormat="1" ht="24" customHeight="1" x14ac:dyDescent="0.3"/>
    <row r="390" s="3" customFormat="1" ht="24" customHeight="1" x14ac:dyDescent="0.3"/>
    <row r="391" s="3" customFormat="1" ht="24" customHeight="1" x14ac:dyDescent="0.3"/>
    <row r="392" s="3" customFormat="1" ht="24" customHeight="1" x14ac:dyDescent="0.3"/>
    <row r="393" s="3" customFormat="1" ht="24" customHeight="1" x14ac:dyDescent="0.3"/>
    <row r="394" s="3" customFormat="1" ht="24" customHeight="1" x14ac:dyDescent="0.3"/>
    <row r="395" s="3" customFormat="1" ht="24" customHeight="1" x14ac:dyDescent="0.3"/>
    <row r="396" s="3" customFormat="1" ht="24" customHeight="1" x14ac:dyDescent="0.3"/>
    <row r="397" s="3" customFormat="1" ht="24" customHeight="1" x14ac:dyDescent="0.3"/>
    <row r="398" s="3" customFormat="1" ht="24" customHeight="1" x14ac:dyDescent="0.3"/>
    <row r="399" s="3" customFormat="1" ht="24" customHeight="1" x14ac:dyDescent="0.3"/>
    <row r="400" s="3" customFormat="1" ht="24" customHeight="1" x14ac:dyDescent="0.3"/>
    <row r="401" s="3" customFormat="1" ht="24" customHeight="1" x14ac:dyDescent="0.3"/>
    <row r="402" s="3" customFormat="1" ht="24" customHeight="1" x14ac:dyDescent="0.3"/>
    <row r="403" s="3" customFormat="1" ht="24" customHeight="1" x14ac:dyDescent="0.3"/>
    <row r="404" s="3" customFormat="1" ht="24" customHeight="1" x14ac:dyDescent="0.3"/>
    <row r="405" s="3" customFormat="1" ht="24" customHeight="1" x14ac:dyDescent="0.3"/>
    <row r="406" s="3" customFormat="1" ht="24" customHeight="1" x14ac:dyDescent="0.3"/>
    <row r="407" s="3" customFormat="1" ht="24" customHeight="1" x14ac:dyDescent="0.3"/>
    <row r="408" s="3" customFormat="1" ht="24" customHeight="1" x14ac:dyDescent="0.3"/>
    <row r="409" s="3" customFormat="1" ht="24" customHeight="1" x14ac:dyDescent="0.3"/>
    <row r="410" s="3" customFormat="1" ht="24" customHeight="1" x14ac:dyDescent="0.3"/>
    <row r="411" s="3" customFormat="1" ht="24" customHeight="1" x14ac:dyDescent="0.3"/>
    <row r="412" s="3" customFormat="1" ht="24" customHeight="1" x14ac:dyDescent="0.3"/>
    <row r="413" s="3" customFormat="1" ht="24" customHeight="1" x14ac:dyDescent="0.3"/>
    <row r="414" s="3" customFormat="1" ht="24" customHeight="1" x14ac:dyDescent="0.3"/>
    <row r="415" s="3" customFormat="1" ht="24" customHeight="1" x14ac:dyDescent="0.3"/>
    <row r="416" s="3" customFormat="1" ht="24" customHeight="1" x14ac:dyDescent="0.3"/>
    <row r="417" s="3" customFormat="1" ht="24" customHeight="1" x14ac:dyDescent="0.3"/>
    <row r="418" s="3" customFormat="1" ht="24" customHeight="1" x14ac:dyDescent="0.3"/>
    <row r="419" s="3" customFormat="1" ht="24" customHeight="1" x14ac:dyDescent="0.3"/>
    <row r="420" s="3" customFormat="1" ht="24" customHeight="1" x14ac:dyDescent="0.3"/>
    <row r="421" s="3" customFormat="1" ht="24" customHeight="1" x14ac:dyDescent="0.3"/>
    <row r="422" s="3" customFormat="1" ht="24" customHeight="1" x14ac:dyDescent="0.3"/>
    <row r="423" s="3" customFormat="1" ht="24" customHeight="1" x14ac:dyDescent="0.3"/>
    <row r="424" s="3" customFormat="1" ht="24" customHeight="1" x14ac:dyDescent="0.3"/>
    <row r="425" s="3" customFormat="1" ht="24" customHeight="1" x14ac:dyDescent="0.3"/>
    <row r="426" s="3" customFormat="1" ht="24" customHeight="1" x14ac:dyDescent="0.3"/>
    <row r="427" s="3" customFormat="1" ht="24" customHeight="1" x14ac:dyDescent="0.3"/>
    <row r="428" s="3" customFormat="1" ht="24" customHeight="1" x14ac:dyDescent="0.3"/>
    <row r="429" s="3" customFormat="1" ht="24" customHeight="1" x14ac:dyDescent="0.3"/>
    <row r="430" s="3" customFormat="1" ht="24" customHeight="1" x14ac:dyDescent="0.3"/>
    <row r="431" s="3" customFormat="1" ht="24" customHeight="1" x14ac:dyDescent="0.3"/>
    <row r="432" s="3" customFormat="1" ht="24" customHeight="1" x14ac:dyDescent="0.3"/>
    <row r="433" s="3" customFormat="1" ht="24" customHeight="1" x14ac:dyDescent="0.3"/>
    <row r="434" s="3" customFormat="1" ht="24" customHeight="1" x14ac:dyDescent="0.3"/>
    <row r="435" s="3" customFormat="1" ht="24" customHeight="1" x14ac:dyDescent="0.3"/>
    <row r="436" s="3" customFormat="1" ht="24" customHeight="1" x14ac:dyDescent="0.3"/>
    <row r="437" s="3" customFormat="1" ht="24" customHeight="1" x14ac:dyDescent="0.3"/>
    <row r="438" s="3" customFormat="1" ht="24" customHeight="1" x14ac:dyDescent="0.3"/>
    <row r="439" s="3" customFormat="1" ht="24" customHeight="1" x14ac:dyDescent="0.3"/>
    <row r="440" s="3" customFormat="1" ht="24" customHeight="1" x14ac:dyDescent="0.3"/>
    <row r="441" s="3" customFormat="1" ht="24" customHeight="1" x14ac:dyDescent="0.3"/>
    <row r="442" s="3" customFormat="1" ht="24" customHeight="1" x14ac:dyDescent="0.3"/>
    <row r="443" s="3" customFormat="1" ht="24" customHeight="1" x14ac:dyDescent="0.3"/>
    <row r="444" s="3" customFormat="1" ht="24" customHeight="1" x14ac:dyDescent="0.3"/>
    <row r="445" s="3" customFormat="1" ht="24" customHeight="1" x14ac:dyDescent="0.3"/>
    <row r="446" s="3" customFormat="1" ht="24" customHeight="1" x14ac:dyDescent="0.3"/>
    <row r="447" s="3" customFormat="1" ht="24" customHeight="1" x14ac:dyDescent="0.3"/>
    <row r="448" s="3" customFormat="1" ht="24" customHeight="1" x14ac:dyDescent="0.3"/>
    <row r="449" s="3" customFormat="1" ht="24" customHeight="1" x14ac:dyDescent="0.3"/>
    <row r="450" s="3" customFormat="1" ht="24" customHeight="1" x14ac:dyDescent="0.3"/>
    <row r="451" s="3" customFormat="1" ht="24" customHeight="1" x14ac:dyDescent="0.3"/>
    <row r="452" s="3" customFormat="1" ht="24" customHeight="1" x14ac:dyDescent="0.3"/>
    <row r="453" s="3" customFormat="1" ht="24" customHeight="1" x14ac:dyDescent="0.3"/>
    <row r="454" s="3" customFormat="1" ht="24" customHeight="1" x14ac:dyDescent="0.3"/>
    <row r="455" s="3" customFormat="1" ht="24" customHeight="1" x14ac:dyDescent="0.3"/>
    <row r="456" s="3" customFormat="1" ht="24" customHeight="1" x14ac:dyDescent="0.3"/>
    <row r="457" s="3" customFormat="1" ht="24" customHeight="1" x14ac:dyDescent="0.3"/>
    <row r="458" s="3" customFormat="1" ht="24" customHeight="1" x14ac:dyDescent="0.3"/>
    <row r="459" s="3" customFormat="1" ht="24" customHeight="1" x14ac:dyDescent="0.3"/>
    <row r="460" s="3" customFormat="1" ht="24" customHeight="1" x14ac:dyDescent="0.3"/>
    <row r="461" s="3" customFormat="1" ht="24" customHeight="1" x14ac:dyDescent="0.3"/>
    <row r="462" s="3" customFormat="1" ht="24" customHeight="1" x14ac:dyDescent="0.3"/>
    <row r="463" s="3" customFormat="1" ht="24" customHeight="1" x14ac:dyDescent="0.3"/>
    <row r="464" s="3" customFormat="1" ht="24" customHeight="1" x14ac:dyDescent="0.3"/>
    <row r="465" s="3" customFormat="1" ht="24" customHeight="1" x14ac:dyDescent="0.3"/>
    <row r="466" s="3" customFormat="1" ht="24" customHeight="1" x14ac:dyDescent="0.3"/>
    <row r="467" s="3" customFormat="1" ht="24" customHeight="1" x14ac:dyDescent="0.3"/>
    <row r="468" s="3" customFormat="1" ht="24" customHeight="1" x14ac:dyDescent="0.3"/>
    <row r="469" s="3" customFormat="1" ht="24" customHeight="1" x14ac:dyDescent="0.3"/>
    <row r="470" s="3" customFormat="1" ht="24" customHeight="1" x14ac:dyDescent="0.3"/>
    <row r="471" s="3" customFormat="1" ht="24" customHeight="1" x14ac:dyDescent="0.3"/>
    <row r="472" s="3" customFormat="1" ht="24" customHeight="1" x14ac:dyDescent="0.3"/>
    <row r="473" s="3" customFormat="1" ht="24" customHeight="1" x14ac:dyDescent="0.3"/>
    <row r="474" s="3" customFormat="1" ht="24" customHeight="1" x14ac:dyDescent="0.3"/>
    <row r="475" s="3" customFormat="1" ht="24" customHeight="1" x14ac:dyDescent="0.3"/>
    <row r="476" s="3" customFormat="1" ht="24" customHeight="1" x14ac:dyDescent="0.3"/>
    <row r="477" s="3" customFormat="1" ht="24" customHeight="1" x14ac:dyDescent="0.3"/>
    <row r="478" s="3" customFormat="1" ht="24" customHeight="1" x14ac:dyDescent="0.3"/>
    <row r="479" s="3" customFormat="1" ht="24" customHeight="1" x14ac:dyDescent="0.3"/>
    <row r="480" s="3" customFormat="1" ht="24" customHeight="1" x14ac:dyDescent="0.3"/>
    <row r="481" s="3" customFormat="1" ht="24" customHeight="1" x14ac:dyDescent="0.3"/>
    <row r="482" s="3" customFormat="1" ht="24" customHeight="1" x14ac:dyDescent="0.3"/>
    <row r="483" s="3" customFormat="1" ht="24" customHeight="1" x14ac:dyDescent="0.3"/>
    <row r="484" s="3" customFormat="1" ht="24" customHeight="1" x14ac:dyDescent="0.3"/>
    <row r="485" s="3" customFormat="1" ht="24" customHeight="1" x14ac:dyDescent="0.3"/>
    <row r="486" s="3" customFormat="1" ht="24" customHeight="1" x14ac:dyDescent="0.3"/>
    <row r="487" s="3" customFormat="1" ht="24" customHeight="1" x14ac:dyDescent="0.3"/>
    <row r="488" s="3" customFormat="1" ht="24" customHeight="1" x14ac:dyDescent="0.3"/>
    <row r="489" s="3" customFormat="1" ht="24" customHeight="1" x14ac:dyDescent="0.3"/>
    <row r="490" s="3" customFormat="1" ht="24" customHeight="1" x14ac:dyDescent="0.3"/>
    <row r="491" s="3" customFormat="1" ht="24" customHeight="1" x14ac:dyDescent="0.3"/>
    <row r="492" s="3" customFormat="1" ht="24" customHeight="1" x14ac:dyDescent="0.3"/>
    <row r="493" s="3" customFormat="1" ht="24" customHeight="1" x14ac:dyDescent="0.3"/>
    <row r="494" s="3" customFormat="1" ht="24" customHeight="1" x14ac:dyDescent="0.3"/>
    <row r="495" s="3" customFormat="1" ht="24" customHeight="1" x14ac:dyDescent="0.3"/>
    <row r="496" s="3" customFormat="1" ht="24" customHeight="1" x14ac:dyDescent="0.3"/>
    <row r="497" s="3" customFormat="1" ht="24" customHeight="1" x14ac:dyDescent="0.3"/>
    <row r="498" s="3" customFormat="1" ht="24" customHeight="1" x14ac:dyDescent="0.3"/>
    <row r="499" s="3" customFormat="1" ht="24" customHeight="1" x14ac:dyDescent="0.3"/>
    <row r="500" s="3" customFormat="1" ht="24" customHeight="1" x14ac:dyDescent="0.3"/>
    <row r="501" s="3" customFormat="1" ht="24" customHeight="1" x14ac:dyDescent="0.3"/>
    <row r="502" s="3" customFormat="1" ht="24" customHeight="1" x14ac:dyDescent="0.3"/>
    <row r="503" s="3" customFormat="1" ht="24" customHeight="1" x14ac:dyDescent="0.3"/>
    <row r="504" s="3" customFormat="1" ht="24" customHeight="1" x14ac:dyDescent="0.3"/>
    <row r="505" s="3" customFormat="1" ht="24" customHeight="1" x14ac:dyDescent="0.3"/>
    <row r="506" s="3" customFormat="1" ht="24" customHeight="1" x14ac:dyDescent="0.3"/>
    <row r="507" s="3" customFormat="1" ht="24" customHeight="1" x14ac:dyDescent="0.3"/>
    <row r="508" s="3" customFormat="1" ht="24" customHeight="1" x14ac:dyDescent="0.3"/>
    <row r="509" s="3" customFormat="1" ht="24" customHeight="1" x14ac:dyDescent="0.3"/>
    <row r="510" s="3" customFormat="1" ht="24" customHeight="1" x14ac:dyDescent="0.3"/>
    <row r="511" s="3" customFormat="1" ht="24" customHeight="1" x14ac:dyDescent="0.3"/>
    <row r="512" s="3" customFormat="1" ht="24" customHeight="1" x14ac:dyDescent="0.3"/>
    <row r="513" s="3" customFormat="1" ht="24" customHeight="1" x14ac:dyDescent="0.3"/>
    <row r="514" s="3" customFormat="1" ht="24" customHeight="1" x14ac:dyDescent="0.3"/>
    <row r="515" s="3" customFormat="1" ht="24" customHeight="1" x14ac:dyDescent="0.3"/>
    <row r="516" s="3" customFormat="1" ht="24" customHeight="1" x14ac:dyDescent="0.3"/>
    <row r="517" s="3" customFormat="1" ht="24" customHeight="1" x14ac:dyDescent="0.3"/>
    <row r="518" s="3" customFormat="1" ht="24" customHeight="1" x14ac:dyDescent="0.3"/>
    <row r="519" s="3" customFormat="1" ht="24" customHeight="1" x14ac:dyDescent="0.3"/>
    <row r="520" s="3" customFormat="1" ht="24" customHeight="1" x14ac:dyDescent="0.3"/>
    <row r="521" s="3" customFormat="1" ht="24" customHeight="1" x14ac:dyDescent="0.3"/>
    <row r="522" s="3" customFormat="1" ht="24" customHeight="1" x14ac:dyDescent="0.3"/>
    <row r="523" s="3" customFormat="1" ht="24" customHeight="1" x14ac:dyDescent="0.3"/>
    <row r="524" s="3" customFormat="1" ht="24" customHeight="1" x14ac:dyDescent="0.3"/>
    <row r="525" s="3" customFormat="1" ht="24" customHeight="1" x14ac:dyDescent="0.3"/>
    <row r="526" s="3" customFormat="1" ht="24" customHeight="1" x14ac:dyDescent="0.3"/>
    <row r="527" s="3" customFormat="1" ht="24" customHeight="1" x14ac:dyDescent="0.3"/>
    <row r="528" s="3" customFormat="1" ht="24" customHeight="1" x14ac:dyDescent="0.3"/>
    <row r="529" s="3" customFormat="1" ht="24" customHeight="1" x14ac:dyDescent="0.3"/>
    <row r="530" s="3" customFormat="1" ht="24" customHeight="1" x14ac:dyDescent="0.3"/>
    <row r="531" s="3" customFormat="1" ht="24" customHeight="1" x14ac:dyDescent="0.3"/>
    <row r="532" s="3" customFormat="1" ht="24" customHeight="1" x14ac:dyDescent="0.3"/>
    <row r="533" s="3" customFormat="1" ht="24" customHeight="1" x14ac:dyDescent="0.3"/>
    <row r="534" s="3" customFormat="1" ht="24" customHeight="1" x14ac:dyDescent="0.3"/>
    <row r="535" s="3" customFormat="1" ht="24" customHeight="1" x14ac:dyDescent="0.3"/>
    <row r="536" s="3" customFormat="1" ht="24" customHeight="1" x14ac:dyDescent="0.3"/>
    <row r="537" s="3" customFormat="1" ht="24" customHeight="1" x14ac:dyDescent="0.3"/>
    <row r="538" s="3" customFormat="1" ht="24" customHeight="1" x14ac:dyDescent="0.3"/>
    <row r="539" s="3" customFormat="1" ht="24" customHeight="1" x14ac:dyDescent="0.3"/>
    <row r="540" s="3" customFormat="1" ht="24" customHeight="1" x14ac:dyDescent="0.3"/>
    <row r="541" s="3" customFormat="1" ht="24" customHeight="1" x14ac:dyDescent="0.3"/>
    <row r="542" s="3" customFormat="1" ht="24" customHeight="1" x14ac:dyDescent="0.3"/>
    <row r="543" s="3" customFormat="1" ht="24" customHeight="1" x14ac:dyDescent="0.3"/>
    <row r="544" s="3" customFormat="1" ht="24" customHeight="1" x14ac:dyDescent="0.3"/>
    <row r="545" s="3" customFormat="1" ht="24" customHeight="1" x14ac:dyDescent="0.3"/>
    <row r="546" s="3" customFormat="1" ht="24" customHeight="1" x14ac:dyDescent="0.3"/>
    <row r="547" s="3" customFormat="1" ht="24" customHeight="1" x14ac:dyDescent="0.3"/>
    <row r="548" s="3" customFormat="1" ht="24" customHeight="1" x14ac:dyDescent="0.3"/>
    <row r="549" s="3" customFormat="1" ht="24" customHeight="1" x14ac:dyDescent="0.3"/>
    <row r="550" s="3" customFormat="1" ht="24" customHeight="1" x14ac:dyDescent="0.3"/>
    <row r="551" s="3" customFormat="1" ht="24" customHeight="1" x14ac:dyDescent="0.3"/>
    <row r="552" s="3" customFormat="1" ht="24" customHeight="1" x14ac:dyDescent="0.3"/>
    <row r="553" s="3" customFormat="1" ht="24" customHeight="1" x14ac:dyDescent="0.3"/>
    <row r="554" s="3" customFormat="1" ht="24" customHeight="1" x14ac:dyDescent="0.3"/>
    <row r="555" s="3" customFormat="1" ht="24" customHeight="1" x14ac:dyDescent="0.3"/>
    <row r="556" s="3" customFormat="1" ht="24" customHeight="1" x14ac:dyDescent="0.3"/>
    <row r="557" s="3" customFormat="1" ht="24" customHeight="1" x14ac:dyDescent="0.3"/>
    <row r="558" s="3" customFormat="1" ht="24" customHeight="1" x14ac:dyDescent="0.3"/>
    <row r="559" s="3" customFormat="1" ht="24" customHeight="1" x14ac:dyDescent="0.3"/>
    <row r="560" s="3" customFormat="1" ht="24" customHeight="1" x14ac:dyDescent="0.3"/>
    <row r="561" s="3" customFormat="1" ht="24" customHeight="1" x14ac:dyDescent="0.3"/>
    <row r="562" s="3" customFormat="1" ht="24" customHeight="1" x14ac:dyDescent="0.3"/>
    <row r="563" s="3" customFormat="1" ht="24" customHeight="1" x14ac:dyDescent="0.3"/>
    <row r="564" s="3" customFormat="1" ht="24" customHeight="1" x14ac:dyDescent="0.3"/>
    <row r="565" s="3" customFormat="1" ht="24" customHeight="1" x14ac:dyDescent="0.3"/>
    <row r="566" s="3" customFormat="1" ht="24" customHeight="1" x14ac:dyDescent="0.3"/>
    <row r="567" s="3" customFormat="1" ht="24" customHeight="1" x14ac:dyDescent="0.3"/>
    <row r="568" s="3" customFormat="1" ht="24" customHeight="1" x14ac:dyDescent="0.3"/>
    <row r="569" s="3" customFormat="1" ht="24" customHeight="1" x14ac:dyDescent="0.3"/>
    <row r="570" s="3" customFormat="1" ht="24" customHeight="1" x14ac:dyDescent="0.3"/>
    <row r="571" s="3" customFormat="1" ht="24" customHeight="1" x14ac:dyDescent="0.3"/>
    <row r="572" s="3" customFormat="1" ht="24" customHeight="1" x14ac:dyDescent="0.3"/>
    <row r="573" s="3" customFormat="1" ht="24" customHeight="1" x14ac:dyDescent="0.3"/>
    <row r="574" s="3" customFormat="1" ht="24" customHeight="1" x14ac:dyDescent="0.3"/>
    <row r="575" s="3" customFormat="1" ht="24" customHeight="1" x14ac:dyDescent="0.3"/>
    <row r="576" s="3" customFormat="1" ht="24" customHeight="1" x14ac:dyDescent="0.3"/>
    <row r="577" s="3" customFormat="1" ht="24" customHeight="1" x14ac:dyDescent="0.3"/>
    <row r="578" s="3" customFormat="1" ht="24" customHeight="1" x14ac:dyDescent="0.3"/>
    <row r="579" s="3" customFormat="1" ht="24" customHeight="1" x14ac:dyDescent="0.3"/>
    <row r="580" s="3" customFormat="1" ht="24" customHeight="1" x14ac:dyDescent="0.3"/>
    <row r="581" s="3" customFormat="1" ht="24" customHeight="1" x14ac:dyDescent="0.3"/>
    <row r="582" s="3" customFormat="1" ht="24" customHeight="1" x14ac:dyDescent="0.3"/>
    <row r="583" s="3" customFormat="1" ht="24" customHeight="1" x14ac:dyDescent="0.3"/>
    <row r="584" s="3" customFormat="1" ht="24" customHeight="1" x14ac:dyDescent="0.3"/>
    <row r="585" s="3" customFormat="1" ht="24" customHeight="1" x14ac:dyDescent="0.3"/>
    <row r="586" s="3" customFormat="1" ht="24" customHeight="1" x14ac:dyDescent="0.3"/>
    <row r="587" s="3" customFormat="1" ht="24" customHeight="1" x14ac:dyDescent="0.3"/>
    <row r="588" s="3" customFormat="1" ht="24" customHeight="1" x14ac:dyDescent="0.3"/>
    <row r="589" s="3" customFormat="1" ht="24" customHeight="1" x14ac:dyDescent="0.3"/>
    <row r="590" s="3" customFormat="1" ht="24" customHeight="1" x14ac:dyDescent="0.3"/>
    <row r="591" s="3" customFormat="1" ht="24" customHeight="1" x14ac:dyDescent="0.3"/>
    <row r="592" s="3" customFormat="1" ht="24" customHeight="1" x14ac:dyDescent="0.3"/>
    <row r="593" s="3" customFormat="1" ht="24" customHeight="1" x14ac:dyDescent="0.3"/>
    <row r="594" s="3" customFormat="1" ht="24" customHeight="1" x14ac:dyDescent="0.3"/>
    <row r="595" s="3" customFormat="1" ht="24" customHeight="1" x14ac:dyDescent="0.3"/>
    <row r="596" s="3" customFormat="1" ht="24" customHeight="1" x14ac:dyDescent="0.3"/>
    <row r="597" s="3" customFormat="1" ht="24" customHeight="1" x14ac:dyDescent="0.3"/>
    <row r="598" s="3" customFormat="1" ht="24" customHeight="1" x14ac:dyDescent="0.3"/>
    <row r="599" s="3" customFormat="1" ht="24" customHeight="1" x14ac:dyDescent="0.3"/>
    <row r="600" s="3" customFormat="1" ht="24" customHeight="1" x14ac:dyDescent="0.3"/>
    <row r="601" s="3" customFormat="1" ht="24" customHeight="1" x14ac:dyDescent="0.3"/>
    <row r="602" s="3" customFormat="1" ht="24" customHeight="1" x14ac:dyDescent="0.3"/>
    <row r="603" s="3" customFormat="1" ht="24" customHeight="1" x14ac:dyDescent="0.3"/>
    <row r="604" s="3" customFormat="1" ht="24" customHeight="1" x14ac:dyDescent="0.3"/>
    <row r="605" s="3" customFormat="1" ht="24" customHeight="1" x14ac:dyDescent="0.3"/>
    <row r="606" s="3" customFormat="1" ht="24" customHeight="1" x14ac:dyDescent="0.3"/>
    <row r="607" s="3" customFormat="1" ht="24" customHeight="1" x14ac:dyDescent="0.3"/>
    <row r="608" s="3" customFormat="1" ht="24" customHeight="1" x14ac:dyDescent="0.3"/>
    <row r="609" s="3" customFormat="1" ht="24" customHeight="1" x14ac:dyDescent="0.3"/>
    <row r="610" s="3" customFormat="1" ht="24" customHeight="1" x14ac:dyDescent="0.3"/>
    <row r="611" s="3" customFormat="1" ht="24" customHeight="1" x14ac:dyDescent="0.3"/>
    <row r="612" s="3" customFormat="1" ht="24" customHeight="1" x14ac:dyDescent="0.3"/>
    <row r="613" s="3" customFormat="1" ht="24" customHeight="1" x14ac:dyDescent="0.3"/>
    <row r="614" s="3" customFormat="1" ht="24" customHeight="1" x14ac:dyDescent="0.3"/>
    <row r="615" s="3" customFormat="1" ht="24" customHeight="1" x14ac:dyDescent="0.3"/>
    <row r="616" s="3" customFormat="1" ht="24" customHeight="1" x14ac:dyDescent="0.3"/>
    <row r="617" s="3" customFormat="1" ht="24" customHeight="1" x14ac:dyDescent="0.3"/>
    <row r="618" s="3" customFormat="1" ht="24" customHeight="1" x14ac:dyDescent="0.3"/>
    <row r="619" s="3" customFormat="1" ht="24" customHeight="1" x14ac:dyDescent="0.3"/>
    <row r="620" s="3" customFormat="1" ht="24" customHeight="1" x14ac:dyDescent="0.3"/>
    <row r="621" s="3" customFormat="1" ht="24" customHeight="1" x14ac:dyDescent="0.3"/>
    <row r="622" s="3" customFormat="1" ht="24" customHeight="1" x14ac:dyDescent="0.3"/>
    <row r="623" s="3" customFormat="1" ht="24" customHeight="1" x14ac:dyDescent="0.3"/>
    <row r="624" s="3" customFormat="1" ht="24" customHeight="1" x14ac:dyDescent="0.3"/>
    <row r="625" s="3" customFormat="1" ht="24" customHeight="1" x14ac:dyDescent="0.3"/>
    <row r="626" s="3" customFormat="1" ht="24" customHeight="1" x14ac:dyDescent="0.3"/>
    <row r="627" s="3" customFormat="1" ht="24" customHeight="1" x14ac:dyDescent="0.3"/>
    <row r="628" s="3" customFormat="1" ht="24" customHeight="1" x14ac:dyDescent="0.3"/>
    <row r="629" s="3" customFormat="1" ht="24" customHeight="1" x14ac:dyDescent="0.3"/>
    <row r="630" s="3" customFormat="1" ht="24" customHeight="1" x14ac:dyDescent="0.3"/>
    <row r="631" s="3" customFormat="1" ht="24" customHeight="1" x14ac:dyDescent="0.3"/>
    <row r="632" s="3" customFormat="1" ht="24" customHeight="1" x14ac:dyDescent="0.3"/>
    <row r="633" s="3" customFormat="1" ht="24" customHeight="1" x14ac:dyDescent="0.3"/>
    <row r="634" s="3" customFormat="1" ht="24" customHeight="1" x14ac:dyDescent="0.3"/>
    <row r="635" s="3" customFormat="1" ht="24" customHeight="1" x14ac:dyDescent="0.3"/>
    <row r="636" s="3" customFormat="1" ht="24" customHeight="1" x14ac:dyDescent="0.3"/>
    <row r="637" s="3" customFormat="1" ht="24" customHeight="1" x14ac:dyDescent="0.3"/>
    <row r="638" s="3" customFormat="1" ht="24" customHeight="1" x14ac:dyDescent="0.3"/>
    <row r="639" s="3" customFormat="1" ht="24" customHeight="1" x14ac:dyDescent="0.3"/>
    <row r="640" s="3" customFormat="1" ht="24" customHeight="1" x14ac:dyDescent="0.3"/>
    <row r="641" s="3" customFormat="1" ht="24" customHeight="1" x14ac:dyDescent="0.3"/>
    <row r="642" s="3" customFormat="1" ht="24" customHeight="1" x14ac:dyDescent="0.3"/>
    <row r="643" s="3" customFormat="1" ht="24" customHeight="1" x14ac:dyDescent="0.3"/>
    <row r="644" s="3" customFormat="1" ht="24" customHeight="1" x14ac:dyDescent="0.3"/>
    <row r="645" s="3" customFormat="1" ht="24" customHeight="1" x14ac:dyDescent="0.3"/>
    <row r="646" s="3" customFormat="1" ht="24" customHeight="1" x14ac:dyDescent="0.3"/>
    <row r="647" s="3" customFormat="1" ht="24" customHeight="1" x14ac:dyDescent="0.3"/>
    <row r="648" s="3" customFormat="1" ht="24" customHeight="1" x14ac:dyDescent="0.3"/>
    <row r="649" s="3" customFormat="1" ht="24" customHeight="1" x14ac:dyDescent="0.3"/>
    <row r="650" s="3" customFormat="1" ht="24" customHeight="1" x14ac:dyDescent="0.3"/>
    <row r="651" s="3" customFormat="1" ht="24" customHeight="1" x14ac:dyDescent="0.3"/>
    <row r="652" s="3" customFormat="1" ht="24" customHeight="1" x14ac:dyDescent="0.3"/>
    <row r="653" s="3" customFormat="1" ht="24" customHeight="1" x14ac:dyDescent="0.3"/>
    <row r="654" s="3" customFormat="1" ht="24" customHeight="1" x14ac:dyDescent="0.3"/>
    <row r="655" s="3" customFormat="1" ht="24" customHeight="1" x14ac:dyDescent="0.3"/>
    <row r="656" s="3" customFormat="1" ht="24" customHeight="1" x14ac:dyDescent="0.3"/>
    <row r="657" s="3" customFormat="1" ht="24" customHeight="1" x14ac:dyDescent="0.3"/>
    <row r="658" s="3" customFormat="1" ht="24" customHeight="1" x14ac:dyDescent="0.3"/>
    <row r="659" s="3" customFormat="1" ht="24" customHeight="1" x14ac:dyDescent="0.3"/>
    <row r="660" s="3" customFormat="1" ht="24" customHeight="1" x14ac:dyDescent="0.3"/>
    <row r="661" s="3" customFormat="1" ht="24" customHeight="1" x14ac:dyDescent="0.3"/>
    <row r="662" s="3" customFormat="1" ht="24" customHeight="1" x14ac:dyDescent="0.3"/>
    <row r="663" s="3" customFormat="1" ht="24" customHeight="1" x14ac:dyDescent="0.3"/>
    <row r="664" s="3" customFormat="1" ht="24" customHeight="1" x14ac:dyDescent="0.3"/>
    <row r="665" s="3" customFormat="1" ht="24" customHeight="1" x14ac:dyDescent="0.3"/>
    <row r="666" s="3" customFormat="1" ht="24" customHeight="1" x14ac:dyDescent="0.3"/>
    <row r="667" s="3" customFormat="1" ht="24" customHeight="1" x14ac:dyDescent="0.3"/>
    <row r="668" s="3" customFormat="1" ht="24" customHeight="1" x14ac:dyDescent="0.3"/>
    <row r="669" s="3" customFormat="1" ht="24" customHeight="1" x14ac:dyDescent="0.3"/>
    <row r="670" s="3" customFormat="1" ht="24" customHeight="1" x14ac:dyDescent="0.3"/>
    <row r="671" s="3" customFormat="1" ht="24" customHeight="1" x14ac:dyDescent="0.3"/>
    <row r="672" s="3" customFormat="1" ht="24" customHeight="1" x14ac:dyDescent="0.3"/>
    <row r="673" s="3" customFormat="1" ht="24" customHeight="1" x14ac:dyDescent="0.3"/>
    <row r="674" s="3" customFormat="1" ht="24" customHeight="1" x14ac:dyDescent="0.3"/>
    <row r="675" s="3" customFormat="1" ht="24" customHeight="1" x14ac:dyDescent="0.3"/>
    <row r="676" s="3" customFormat="1" ht="24" customHeight="1" x14ac:dyDescent="0.3"/>
    <row r="677" s="3" customFormat="1" ht="24" customHeight="1" x14ac:dyDescent="0.3"/>
    <row r="678" s="3" customFormat="1" ht="24" customHeight="1" x14ac:dyDescent="0.3"/>
    <row r="679" s="3" customFormat="1" ht="24" customHeight="1" x14ac:dyDescent="0.3"/>
    <row r="680" s="3" customFormat="1" ht="24" customHeight="1" x14ac:dyDescent="0.3"/>
    <row r="681" s="3" customFormat="1" ht="24" customHeight="1" x14ac:dyDescent="0.3"/>
    <row r="682" s="3" customFormat="1" ht="24" customHeight="1" x14ac:dyDescent="0.3"/>
    <row r="683" s="3" customFormat="1" ht="24" customHeight="1" x14ac:dyDescent="0.3"/>
    <row r="684" s="3" customFormat="1" ht="24" customHeight="1" x14ac:dyDescent="0.3"/>
    <row r="685" s="3" customFormat="1" ht="24" customHeight="1" x14ac:dyDescent="0.3"/>
    <row r="686" s="3" customFormat="1" ht="24" customHeight="1" x14ac:dyDescent="0.3"/>
    <row r="687" s="3" customFormat="1" ht="24" customHeight="1" x14ac:dyDescent="0.3"/>
    <row r="688" s="3" customFormat="1" ht="24" customHeight="1" x14ac:dyDescent="0.3"/>
    <row r="689" s="3" customFormat="1" ht="24" customHeight="1" x14ac:dyDescent="0.3"/>
    <row r="690" s="3" customFormat="1" ht="24" customHeight="1" x14ac:dyDescent="0.3"/>
    <row r="691" s="3" customFormat="1" ht="24" customHeight="1" x14ac:dyDescent="0.3"/>
    <row r="692" s="3" customFormat="1" ht="24" customHeight="1" x14ac:dyDescent="0.3"/>
    <row r="693" s="3" customFormat="1" ht="24" customHeight="1" x14ac:dyDescent="0.3"/>
    <row r="694" s="3" customFormat="1" ht="24" customHeight="1" x14ac:dyDescent="0.3"/>
    <row r="695" s="3" customFormat="1" ht="24" customHeight="1" x14ac:dyDescent="0.3"/>
    <row r="696" s="3" customFormat="1" ht="24" customHeight="1" x14ac:dyDescent="0.3"/>
    <row r="697" s="3" customFormat="1" ht="24" customHeight="1" x14ac:dyDescent="0.3"/>
    <row r="698" s="3" customFormat="1" ht="24" customHeight="1" x14ac:dyDescent="0.3"/>
    <row r="699" s="3" customFormat="1" ht="24" customHeight="1" x14ac:dyDescent="0.3"/>
    <row r="700" s="3" customFormat="1" ht="24" customHeight="1" x14ac:dyDescent="0.3"/>
    <row r="701" s="3" customFormat="1" ht="24" customHeight="1" x14ac:dyDescent="0.3"/>
    <row r="702" s="3" customFormat="1" ht="24" customHeight="1" x14ac:dyDescent="0.3"/>
    <row r="703" s="3" customFormat="1" ht="24" customHeight="1" x14ac:dyDescent="0.3"/>
    <row r="704" s="3" customFormat="1" ht="24" customHeight="1" x14ac:dyDescent="0.3"/>
    <row r="705" s="3" customFormat="1" ht="24" customHeight="1" x14ac:dyDescent="0.3"/>
    <row r="706" s="3" customFormat="1" ht="24" customHeight="1" x14ac:dyDescent="0.3"/>
    <row r="707" s="3" customFormat="1" ht="24" customHeight="1" x14ac:dyDescent="0.3"/>
    <row r="708" s="3" customFormat="1" ht="24" customHeight="1" x14ac:dyDescent="0.3"/>
    <row r="709" s="3" customFormat="1" ht="24" customHeight="1" x14ac:dyDescent="0.3"/>
    <row r="710" s="3" customFormat="1" ht="24" customHeight="1" x14ac:dyDescent="0.3"/>
    <row r="711" s="3" customFormat="1" ht="24" customHeight="1" x14ac:dyDescent="0.3"/>
    <row r="712" s="3" customFormat="1" ht="24" customHeight="1" x14ac:dyDescent="0.3"/>
    <row r="713" s="3" customFormat="1" ht="24" customHeight="1" x14ac:dyDescent="0.3"/>
    <row r="714" s="3" customFormat="1" ht="24" customHeight="1" x14ac:dyDescent="0.3"/>
    <row r="715" s="3" customFormat="1" ht="24" customHeight="1" x14ac:dyDescent="0.3"/>
    <row r="716" s="3" customFormat="1" ht="24" customHeight="1" x14ac:dyDescent="0.3"/>
    <row r="717" s="3" customFormat="1" ht="24" customHeight="1" x14ac:dyDescent="0.3"/>
    <row r="718" s="3" customFormat="1" ht="24" customHeight="1" x14ac:dyDescent="0.3"/>
    <row r="719" s="3" customFormat="1" ht="24" customHeight="1" x14ac:dyDescent="0.3"/>
    <row r="720" s="3" customFormat="1" ht="24" customHeight="1" x14ac:dyDescent="0.3"/>
    <row r="721" s="3" customFormat="1" ht="24" customHeight="1" x14ac:dyDescent="0.3"/>
    <row r="722" s="3" customFormat="1" ht="24" customHeight="1" x14ac:dyDescent="0.3"/>
    <row r="723" s="3" customFormat="1" ht="24" customHeight="1" x14ac:dyDescent="0.3"/>
    <row r="724" s="3" customFormat="1" ht="24" customHeight="1" x14ac:dyDescent="0.3"/>
    <row r="725" s="3" customFormat="1" ht="24" customHeight="1" x14ac:dyDescent="0.3"/>
    <row r="726" s="3" customFormat="1" ht="24" customHeight="1" x14ac:dyDescent="0.3"/>
    <row r="727" s="3" customFormat="1" ht="24" customHeight="1" x14ac:dyDescent="0.3"/>
    <row r="728" s="3" customFormat="1" ht="24" customHeight="1" x14ac:dyDescent="0.3"/>
    <row r="729" s="3" customFormat="1" ht="24" customHeight="1" x14ac:dyDescent="0.3"/>
    <row r="730" s="3" customFormat="1" ht="24" customHeight="1" x14ac:dyDescent="0.3"/>
    <row r="731" s="3" customFormat="1" ht="24" customHeight="1" x14ac:dyDescent="0.3"/>
    <row r="732" s="3" customFormat="1" ht="24" customHeight="1" x14ac:dyDescent="0.3"/>
    <row r="733" s="3" customFormat="1" ht="24" customHeight="1" x14ac:dyDescent="0.3"/>
    <row r="734" s="3" customFormat="1" ht="24" customHeight="1" x14ac:dyDescent="0.3"/>
    <row r="735" s="3" customFormat="1" ht="24" customHeight="1" x14ac:dyDescent="0.3"/>
    <row r="736" s="3" customFormat="1" ht="24" customHeight="1" x14ac:dyDescent="0.3"/>
    <row r="737" spans="1:8" ht="24" customHeight="1" x14ac:dyDescent="0.3">
      <c r="B737" s="3"/>
      <c r="C737" s="3"/>
      <c r="D737" s="3"/>
      <c r="E737" s="3"/>
      <c r="F737" s="3"/>
      <c r="G737" s="3"/>
      <c r="H737" s="3"/>
    </row>
    <row r="738" spans="1:8" ht="24" customHeight="1" x14ac:dyDescent="0.3">
      <c r="B738" s="3"/>
      <c r="C738" s="3"/>
      <c r="D738" s="3"/>
      <c r="E738" s="3"/>
      <c r="F738" s="3"/>
      <c r="G738" s="3"/>
      <c r="H738" s="3"/>
    </row>
    <row r="739" spans="1:8" ht="24" customHeight="1" x14ac:dyDescent="0.3">
      <c r="B739" s="3"/>
      <c r="C739" s="3"/>
      <c r="D739" s="3"/>
      <c r="E739" s="3"/>
      <c r="F739" s="3"/>
      <c r="G739" s="3"/>
      <c r="H739" s="3"/>
    </row>
    <row r="740" spans="1:8" ht="24" customHeight="1" x14ac:dyDescent="0.3">
      <c r="B740" s="3"/>
      <c r="C740" s="3"/>
      <c r="D740" s="3"/>
      <c r="E740" s="3"/>
      <c r="F740" s="3"/>
      <c r="G740" s="3"/>
      <c r="H740" s="3"/>
    </row>
    <row r="741" spans="1:8" ht="24" customHeight="1" x14ac:dyDescent="0.3">
      <c r="B741" s="3"/>
      <c r="C741" s="3"/>
      <c r="D741" s="3"/>
      <c r="E741" s="3"/>
      <c r="F741" s="3"/>
      <c r="G741" s="3"/>
      <c r="H741" s="3"/>
    </row>
    <row r="742" spans="1:8" ht="24" customHeight="1" x14ac:dyDescent="0.3">
      <c r="B742" s="3"/>
      <c r="C742" s="3"/>
      <c r="D742" s="3"/>
      <c r="E742" s="3"/>
      <c r="F742" s="3"/>
      <c r="G742" s="3"/>
      <c r="H742" s="3"/>
    </row>
    <row r="747" spans="1:8" ht="24" customHeight="1" x14ac:dyDescent="0.3">
      <c r="A747" s="2"/>
    </row>
    <row r="748" spans="1:8" ht="24" customHeight="1" x14ac:dyDescent="0.3">
      <c r="A748" s="2"/>
    </row>
  </sheetData>
  <mergeCells count="6">
    <mergeCell ref="S8:T8"/>
    <mergeCell ref="B2:H3"/>
    <mergeCell ref="S5:T5"/>
    <mergeCell ref="S6:T6"/>
    <mergeCell ref="S7:T7"/>
    <mergeCell ref="S4:T4"/>
  </mergeCells>
  <phoneticPr fontId="1" type="noConversion"/>
  <conditionalFormatting sqref="B5:E56 G5:H56">
    <cfRule type="expression" dxfId="3" priority="1">
      <formula>#REF!="Sim"</formula>
    </cfRule>
    <cfRule type="expression" dxfId="2" priority="2">
      <formula>#REF!=1</formula>
    </cfRule>
  </conditionalFormatting>
  <dataValidations disablePrompts="1" xWindow="1141" yWindow="341" count="7">
    <dataValidation allowBlank="1" showInputMessage="1" showErrorMessage="1" prompt="Insira o nome do item nesta coluna" sqref="B4" xr:uid="{00000000-0002-0000-0000-000003000000}"/>
    <dataValidation allowBlank="1" showInputMessage="1" showErrorMessage="1" prompt="Insira o nível de estoque de cada item nesta coluna" sqref="G4" xr:uid="{00000000-0002-0000-0000-000007000000}"/>
    <dataValidation allowBlank="1" showInputMessage="1" showErrorMessage="1" prompt="Esse é um valor de estoque column._x000a__x000a_O valor de estoque de cada item é automaticamente calculado nesta coluna." sqref="F4" xr:uid="{00000000-0002-0000-0000-000008000000}"/>
    <dataValidation allowBlank="1" showInputMessage="1" showErrorMessage="1" prompt="Insira a quantidade em estoque de cada item nesta coluna" sqref="E4" xr:uid="{00000000-0002-0000-0000-000009000000}"/>
    <dataValidation allowBlank="1" showInputMessage="1" showErrorMessage="1" prompt="Insira o preço unitário de cada item nesta coluna" sqref="D4" xr:uid="{00000000-0002-0000-0000-00000A000000}"/>
    <dataValidation allowBlank="1" showInputMessage="1" showErrorMessage="1" prompt="Insira uma descrição do item nesta coluna" sqref="C4" xr:uid="{00000000-0002-0000-0000-00000B000000}"/>
    <dataValidation allowBlank="1" showInputMessage="1" showErrorMessage="1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 I1" xr:uid="{8F182C1C-C305-48BB-889F-2AD958D3312B}"/>
  </dataValidations>
  <printOptions horizontalCentered="1"/>
  <pageMargins left="0.25" right="0.25" top="0.75" bottom="0.75" header="0.3" footer="0.3"/>
  <pageSetup paperSize="9" scale="28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DC5D-F27E-48D0-B8DF-8044B97C94FB}">
  <dimension ref="A1:G71"/>
  <sheetViews>
    <sheetView topLeftCell="A24" zoomScale="45" zoomScaleNormal="55" workbookViewId="0">
      <selection activeCell="G58" sqref="G58"/>
    </sheetView>
  </sheetViews>
  <sheetFormatPr defaultRowHeight="14.4" x14ac:dyDescent="0.3"/>
  <cols>
    <col min="1" max="1" width="73" customWidth="1"/>
    <col min="2" max="2" width="140.59765625" customWidth="1"/>
    <col min="3" max="3" width="20.09765625" customWidth="1"/>
    <col min="4" max="4" width="13.5" customWidth="1"/>
    <col min="5" max="5" width="15.5" customWidth="1"/>
    <col min="6" max="6" width="14.59765625" customWidth="1"/>
    <col min="7" max="7" width="18.5" customWidth="1"/>
  </cols>
  <sheetData>
    <row r="1" spans="1:7" ht="15.75" customHeight="1" x14ac:dyDescent="0.3">
      <c r="A1" s="79" t="s">
        <v>118</v>
      </c>
      <c r="B1" s="79"/>
      <c r="C1" s="79"/>
      <c r="D1" s="79"/>
      <c r="E1" s="79"/>
      <c r="F1" s="79"/>
      <c r="G1" s="79"/>
    </row>
    <row r="2" spans="1:7" ht="15" customHeight="1" x14ac:dyDescent="0.3">
      <c r="A2" s="79"/>
      <c r="B2" s="79"/>
      <c r="C2" s="79"/>
      <c r="D2" s="79"/>
      <c r="E2" s="79"/>
      <c r="F2" s="79"/>
      <c r="G2" s="79"/>
    </row>
    <row r="3" spans="1:7" ht="15" customHeight="1" x14ac:dyDescent="0.3">
      <c r="A3" s="79"/>
      <c r="B3" s="79"/>
      <c r="C3" s="79"/>
      <c r="D3" s="79"/>
      <c r="E3" s="79"/>
      <c r="F3" s="79"/>
      <c r="G3" s="79"/>
    </row>
    <row r="4" spans="1:7" ht="15" customHeight="1" x14ac:dyDescent="0.3">
      <c r="A4" s="79"/>
      <c r="B4" s="79"/>
      <c r="C4" s="79"/>
      <c r="D4" s="79"/>
      <c r="E4" s="79"/>
      <c r="F4" s="79"/>
      <c r="G4" s="79"/>
    </row>
    <row r="5" spans="1:7" ht="15" customHeight="1" x14ac:dyDescent="0.3">
      <c r="A5" s="79"/>
      <c r="B5" s="79"/>
      <c r="C5" s="79"/>
      <c r="D5" s="79"/>
      <c r="E5" s="79"/>
      <c r="F5" s="79"/>
      <c r="G5" s="79"/>
    </row>
    <row r="6" spans="1:7" ht="15" customHeight="1" x14ac:dyDescent="0.3">
      <c r="A6" s="79"/>
      <c r="B6" s="79"/>
      <c r="C6" s="79"/>
      <c r="D6" s="79"/>
      <c r="E6" s="79"/>
      <c r="F6" s="79"/>
      <c r="G6" s="79"/>
    </row>
    <row r="7" spans="1:7" ht="15" customHeight="1" x14ac:dyDescent="0.3">
      <c r="A7" s="79"/>
      <c r="B7" s="79"/>
      <c r="C7" s="79"/>
      <c r="D7" s="79"/>
      <c r="E7" s="79"/>
      <c r="F7" s="79"/>
      <c r="G7" s="79"/>
    </row>
    <row r="8" spans="1:7" ht="15" customHeight="1" x14ac:dyDescent="0.3">
      <c r="A8" s="79"/>
      <c r="B8" s="79"/>
      <c r="C8" s="79"/>
      <c r="D8" s="79"/>
      <c r="E8" s="79"/>
      <c r="F8" s="79"/>
      <c r="G8" s="79"/>
    </row>
    <row r="9" spans="1:7" ht="31.5" customHeight="1" x14ac:dyDescent="0.3">
      <c r="A9" s="30" t="s">
        <v>1</v>
      </c>
      <c r="B9" s="30" t="s">
        <v>2</v>
      </c>
      <c r="C9" s="37" t="s">
        <v>3</v>
      </c>
      <c r="D9" s="37" t="s">
        <v>4</v>
      </c>
      <c r="E9" s="37" t="s">
        <v>5</v>
      </c>
      <c r="F9" s="37" t="s">
        <v>6</v>
      </c>
      <c r="G9" s="37" t="s">
        <v>7</v>
      </c>
    </row>
    <row r="10" spans="1:7" ht="21" x14ac:dyDescent="0.3">
      <c r="A10" s="34" t="s">
        <v>45</v>
      </c>
      <c r="B10" s="34" t="s">
        <v>46</v>
      </c>
      <c r="C10" s="35" t="s">
        <v>9</v>
      </c>
      <c r="D10" s="34" t="s">
        <v>19</v>
      </c>
      <c r="E10" s="36">
        <f>IF(Tabela33[[#This Row],[Tamanho]]="PP",3,
IF(Tabela33[[#This Row],[Tamanho]]="P",5,
IF(Tabela33[[#This Row],[Tamanho]]="M",8,
IF(Tabela33[[#This Row],[Tamanho]]="G",13,
IF(Tabela33[[#This Row],[Tamanho]]="GG",21,0)))))</f>
        <v>13</v>
      </c>
      <c r="F10" s="34">
        <v>1</v>
      </c>
      <c r="G10" s="34" t="s">
        <v>119</v>
      </c>
    </row>
    <row r="11" spans="1:7" ht="21" x14ac:dyDescent="0.3">
      <c r="A11" s="31" t="s">
        <v>48</v>
      </c>
      <c r="B11" s="31" t="s">
        <v>49</v>
      </c>
      <c r="C11" s="32" t="s">
        <v>9</v>
      </c>
      <c r="D11" s="31" t="s">
        <v>16</v>
      </c>
      <c r="E11" s="33">
        <f>IF(Tabela33[[#This Row],[Tamanho]]="PP",3,
IF(Tabela33[[#This Row],[Tamanho]]="P",5,
IF(Tabela33[[#This Row],[Tamanho]]="M",8,
IF(Tabela33[[#This Row],[Tamanho]]="G",13,
IF(Tabela33[[#This Row],[Tamanho]]="GG",21,0)))))</f>
        <v>8</v>
      </c>
      <c r="F11" s="31">
        <v>1</v>
      </c>
      <c r="G11" s="31" t="s">
        <v>119</v>
      </c>
    </row>
    <row r="12" spans="1:7" ht="21" x14ac:dyDescent="0.3">
      <c r="A12" s="34" t="s">
        <v>50</v>
      </c>
      <c r="B12" s="34" t="s">
        <v>51</v>
      </c>
      <c r="C12" s="35" t="s">
        <v>36</v>
      </c>
      <c r="D12" s="34" t="s">
        <v>16</v>
      </c>
      <c r="E12" s="36">
        <f>IF(Tabela33[[#This Row],[Tamanho]]="PP",3,
IF(Tabela33[[#This Row],[Tamanho]]="P",5,
IF(Tabela33[[#This Row],[Tamanho]]="M",8,
IF(Tabela33[[#This Row],[Tamanho]]="G",13,
IF(Tabela33[[#This Row],[Tamanho]]="GG",21,0)))))</f>
        <v>8</v>
      </c>
      <c r="F12" s="34">
        <v>2</v>
      </c>
      <c r="G12" s="34" t="s">
        <v>120</v>
      </c>
    </row>
    <row r="13" spans="1:7" ht="21" x14ac:dyDescent="0.3">
      <c r="A13" s="31" t="s">
        <v>52</v>
      </c>
      <c r="B13" s="31" t="s">
        <v>53</v>
      </c>
      <c r="C13" s="32" t="s">
        <v>24</v>
      </c>
      <c r="D13" s="31" t="s">
        <v>19</v>
      </c>
      <c r="E13" s="33">
        <f>IF(Tabela33[[#This Row],[Tamanho]]="PP",3,
IF(Tabela33[[#This Row],[Tamanho]]="P",5,
IF(Tabela33[[#This Row],[Tamanho]]="M",8,
IF(Tabela33[[#This Row],[Tamanho]]="G",13,
IF(Tabela33[[#This Row],[Tamanho]]="GG",21,0)))))</f>
        <v>13</v>
      </c>
      <c r="F13" s="31">
        <v>2</v>
      </c>
      <c r="G13" s="31" t="s">
        <v>120</v>
      </c>
    </row>
    <row r="14" spans="1:7" ht="21" x14ac:dyDescent="0.3">
      <c r="A14" s="34" t="s">
        <v>54</v>
      </c>
      <c r="B14" s="34" t="s">
        <v>55</v>
      </c>
      <c r="C14" s="35" t="s">
        <v>9</v>
      </c>
      <c r="D14" s="34" t="s">
        <v>10</v>
      </c>
      <c r="E14" s="36">
        <f>IF(Tabela33[[#This Row],[Tamanho]]="PP",3,
IF(Tabela33[[#This Row],[Tamanho]]="P",5,
IF(Tabela33[[#This Row],[Tamanho]]="M",8,
IF(Tabela33[[#This Row],[Tamanho]]="G",13,
IF(Tabela33[[#This Row],[Tamanho]]="GG",21,0)))))</f>
        <v>3</v>
      </c>
      <c r="F14" s="34">
        <v>1</v>
      </c>
      <c r="G14" s="34" t="s">
        <v>119</v>
      </c>
    </row>
    <row r="15" spans="1:7" ht="21" x14ac:dyDescent="0.3">
      <c r="A15" s="31" t="s">
        <v>56</v>
      </c>
      <c r="B15" s="31" t="s">
        <v>57</v>
      </c>
      <c r="C15" s="32" t="s">
        <v>24</v>
      </c>
      <c r="D15" s="31" t="s">
        <v>16</v>
      </c>
      <c r="E15" s="33">
        <f>IF(Tabela33[[#This Row],[Tamanho]]="PP",3,
IF(Tabela33[[#This Row],[Tamanho]]="P",5,
IF(Tabela33[[#This Row],[Tamanho]]="M",8,
IF(Tabela33[[#This Row],[Tamanho]]="G",13,
IF(Tabela33[[#This Row],[Tamanho]]="GG",21,0)))))</f>
        <v>8</v>
      </c>
      <c r="F15" s="31">
        <v>2</v>
      </c>
      <c r="G15" s="31" t="s">
        <v>122</v>
      </c>
    </row>
    <row r="16" spans="1:7" ht="21" x14ac:dyDescent="0.3">
      <c r="A16" s="34" t="s">
        <v>134</v>
      </c>
      <c r="B16" s="34" t="s">
        <v>130</v>
      </c>
      <c r="C16" s="35" t="s">
        <v>128</v>
      </c>
      <c r="D16" s="34" t="s">
        <v>29</v>
      </c>
      <c r="E16" s="36">
        <f>IF(Tabela33[[#This Row],[Tamanho]]="PP",3,
IF(Tabela33[[#This Row],[Tamanho]]="P",5,
IF(Tabela33[[#This Row],[Tamanho]]="M",8,
IF(Tabela33[[#This Row],[Tamanho]]="G",13,
IF(Tabela33[[#This Row],[Tamanho]]="GG",21,0)))))</f>
        <v>5</v>
      </c>
      <c r="F16" s="34">
        <v>1</v>
      </c>
      <c r="G16" s="34" t="s">
        <v>121</v>
      </c>
    </row>
    <row r="17" spans="1:7" ht="21" x14ac:dyDescent="0.3">
      <c r="A17" s="31" t="s">
        <v>125</v>
      </c>
      <c r="B17" s="31" t="s">
        <v>126</v>
      </c>
      <c r="C17" s="32" t="s">
        <v>9</v>
      </c>
      <c r="D17" s="31" t="s">
        <v>29</v>
      </c>
      <c r="E17" s="33">
        <f>IF(Tabela33[[#This Row],[Tamanho]]="PP",3,
IF(Tabela33[[#This Row],[Tamanho]]="P",5,
IF(Tabela33[[#This Row],[Tamanho]]="M",8,
IF(Tabela33[[#This Row],[Tamanho]]="G",13,
IF(Tabela33[[#This Row],[Tamanho]]="GG",21,0)))))</f>
        <v>5</v>
      </c>
      <c r="F17" s="31">
        <v>3</v>
      </c>
      <c r="G17" s="31" t="s">
        <v>122</v>
      </c>
    </row>
    <row r="18" spans="1:7" ht="21" x14ac:dyDescent="0.3">
      <c r="A18" s="34" t="s">
        <v>58</v>
      </c>
      <c r="B18" s="34" t="s">
        <v>59</v>
      </c>
      <c r="C18" s="35" t="s">
        <v>24</v>
      </c>
      <c r="D18" s="34" t="s">
        <v>16</v>
      </c>
      <c r="E18" s="36">
        <f>IF(Tabela33[[#This Row],[Tamanho]]="PP",3,
IF(Tabela33[[#This Row],[Tamanho]]="P",5,
IF(Tabela33[[#This Row],[Tamanho]]="M",8,
IF(Tabela33[[#This Row],[Tamanho]]="G",13,
IF(Tabela33[[#This Row],[Tamanho]]="GG",21,0)))))</f>
        <v>8</v>
      </c>
      <c r="F18" s="34">
        <v>1</v>
      </c>
      <c r="G18" s="34" t="s">
        <v>122</v>
      </c>
    </row>
    <row r="19" spans="1:7" ht="21" x14ac:dyDescent="0.3">
      <c r="A19" s="31" t="s">
        <v>60</v>
      </c>
      <c r="B19" s="31" t="s">
        <v>61</v>
      </c>
      <c r="C19" s="32" t="s">
        <v>9</v>
      </c>
      <c r="D19" s="31" t="s">
        <v>19</v>
      </c>
      <c r="E19" s="33">
        <f>IF(Tabela33[[#This Row],[Tamanho]]="PP",3,
IF(Tabela33[[#This Row],[Tamanho]]="P",5,
IF(Tabela33[[#This Row],[Tamanho]]="M",8,
IF(Tabela33[[#This Row],[Tamanho]]="G",13,
IF(Tabela33[[#This Row],[Tamanho]]="GG",21,0)))))</f>
        <v>13</v>
      </c>
      <c r="F19" s="31">
        <v>3</v>
      </c>
      <c r="G19" s="31" t="s">
        <v>122</v>
      </c>
    </row>
    <row r="20" spans="1:7" ht="21" x14ac:dyDescent="0.3">
      <c r="A20" s="34" t="s">
        <v>62</v>
      </c>
      <c r="B20" s="34" t="s">
        <v>131</v>
      </c>
      <c r="C20" s="35" t="s">
        <v>9</v>
      </c>
      <c r="D20" s="34" t="s">
        <v>29</v>
      </c>
      <c r="E20" s="36">
        <f>IF(Tabela33[[#This Row],[Tamanho]]="PP",3,
IF(Tabela33[[#This Row],[Tamanho]]="P",5,
IF(Tabela33[[#This Row],[Tamanho]]="M",8,
IF(Tabela33[[#This Row],[Tamanho]]="G",13,
IF(Tabela33[[#This Row],[Tamanho]]="GG",21,0)))))</f>
        <v>5</v>
      </c>
      <c r="F20" s="34">
        <v>2</v>
      </c>
      <c r="G20" s="34" t="s">
        <v>120</v>
      </c>
    </row>
    <row r="21" spans="1:7" ht="21" x14ac:dyDescent="0.3">
      <c r="A21" s="31" t="s">
        <v>63</v>
      </c>
      <c r="B21" s="31" t="s">
        <v>64</v>
      </c>
      <c r="C21" s="32" t="s">
        <v>24</v>
      </c>
      <c r="D21" s="31" t="s">
        <v>16</v>
      </c>
      <c r="E21" s="33">
        <f>IF(Tabela33[[#This Row],[Tamanho]]="PP",3,
IF(Tabela33[[#This Row],[Tamanho]]="P",5,
IF(Tabela33[[#This Row],[Tamanho]]="M",8,
IF(Tabela33[[#This Row],[Tamanho]]="G",13,
IF(Tabela33[[#This Row],[Tamanho]]="GG",21,0)))))</f>
        <v>8</v>
      </c>
      <c r="F21" s="31">
        <v>2</v>
      </c>
      <c r="G21" s="31" t="s">
        <v>120</v>
      </c>
    </row>
    <row r="22" spans="1:7" ht="21" x14ac:dyDescent="0.3">
      <c r="A22" s="34" t="s">
        <v>65</v>
      </c>
      <c r="B22" s="34" t="s">
        <v>66</v>
      </c>
      <c r="C22" s="35" t="s">
        <v>24</v>
      </c>
      <c r="D22" s="34" t="s">
        <v>16</v>
      </c>
      <c r="E22" s="36">
        <f>IF(Tabela33[[#This Row],[Tamanho]]="PP",3,
IF(Tabela33[[#This Row],[Tamanho]]="P",5,
IF(Tabela33[[#This Row],[Tamanho]]="M",8,
IF(Tabela33[[#This Row],[Tamanho]]="G",13,
IF(Tabela33[[#This Row],[Tamanho]]="GG",21,0)))))</f>
        <v>8</v>
      </c>
      <c r="F22" s="34">
        <v>2</v>
      </c>
      <c r="G22" s="34" t="s">
        <v>120</v>
      </c>
    </row>
    <row r="23" spans="1:7" ht="21" x14ac:dyDescent="0.3">
      <c r="A23" s="31" t="s">
        <v>67</v>
      </c>
      <c r="B23" s="31" t="s">
        <v>68</v>
      </c>
      <c r="C23" s="32" t="s">
        <v>9</v>
      </c>
      <c r="D23" s="31" t="s">
        <v>16</v>
      </c>
      <c r="E23" s="33">
        <f>IF(Tabela33[[#This Row],[Tamanho]]="PP",3,
IF(Tabela33[[#This Row],[Tamanho]]="P",5,
IF(Tabela33[[#This Row],[Tamanho]]="M",8,
IF(Tabela33[[#This Row],[Tamanho]]="G",13,
IF(Tabela33[[#This Row],[Tamanho]]="GG",21,0)))))</f>
        <v>8</v>
      </c>
      <c r="F23" s="31">
        <v>3</v>
      </c>
      <c r="G23" s="31" t="s">
        <v>121</v>
      </c>
    </row>
    <row r="24" spans="1:7" ht="21" x14ac:dyDescent="0.3">
      <c r="A24" s="34" t="s">
        <v>69</v>
      </c>
      <c r="B24" s="34" t="s">
        <v>70</v>
      </c>
      <c r="C24" s="35" t="s">
        <v>24</v>
      </c>
      <c r="D24" s="34" t="s">
        <v>16</v>
      </c>
      <c r="E24" s="36">
        <f>IF(Tabela33[[#This Row],[Tamanho]]="PP",3,
IF(Tabela33[[#This Row],[Tamanho]]="P",5,
IF(Tabela33[[#This Row],[Tamanho]]="M",8,
IF(Tabela33[[#This Row],[Tamanho]]="G",13,
IF(Tabela33[[#This Row],[Tamanho]]="GG",21,0)))))</f>
        <v>8</v>
      </c>
      <c r="F24" s="34">
        <v>1</v>
      </c>
      <c r="G24" s="34" t="s">
        <v>119</v>
      </c>
    </row>
    <row r="25" spans="1:7" ht="21" x14ac:dyDescent="0.3">
      <c r="A25" s="31" t="s">
        <v>71</v>
      </c>
      <c r="B25" s="31" t="s">
        <v>72</v>
      </c>
      <c r="C25" s="32" t="s">
        <v>24</v>
      </c>
      <c r="D25" s="31" t="s">
        <v>29</v>
      </c>
      <c r="E25" s="33">
        <f>IF(Tabela33[[#This Row],[Tamanho]]="PP",3,
IF(Tabela33[[#This Row],[Tamanho]]="P",5,
IF(Tabela33[[#This Row],[Tamanho]]="M",8,
IF(Tabela33[[#This Row],[Tamanho]]="G",13,
IF(Tabela33[[#This Row],[Tamanho]]="GG",21,0)))))</f>
        <v>5</v>
      </c>
      <c r="F25" s="31">
        <v>1</v>
      </c>
      <c r="G25" s="31" t="s">
        <v>119</v>
      </c>
    </row>
    <row r="26" spans="1:7" ht="21" x14ac:dyDescent="0.3">
      <c r="A26" s="34" t="s">
        <v>73</v>
      </c>
      <c r="B26" s="34" t="s">
        <v>74</v>
      </c>
      <c r="C26" s="35" t="s">
        <v>24</v>
      </c>
      <c r="D26" s="34" t="s">
        <v>29</v>
      </c>
      <c r="E26" s="36">
        <f>IF(Tabela33[[#This Row],[Tamanho]]="PP",3,
IF(Tabela33[[#This Row],[Tamanho]]="P",5,
IF(Tabela33[[#This Row],[Tamanho]]="M",8,
IF(Tabela33[[#This Row],[Tamanho]]="G",13,
IF(Tabela33[[#This Row],[Tamanho]]="GG",21,0)))))</f>
        <v>5</v>
      </c>
      <c r="F26" s="34">
        <v>3</v>
      </c>
      <c r="G26" s="34" t="s">
        <v>122</v>
      </c>
    </row>
    <row r="27" spans="1:7" ht="21" x14ac:dyDescent="0.3">
      <c r="A27" s="31" t="s">
        <v>75</v>
      </c>
      <c r="B27" s="31" t="s">
        <v>76</v>
      </c>
      <c r="C27" s="32" t="s">
        <v>24</v>
      </c>
      <c r="D27" s="31" t="s">
        <v>29</v>
      </c>
      <c r="E27" s="33">
        <f>IF(Tabela33[[#This Row],[Tamanho]]="PP",3,
IF(Tabela33[[#This Row],[Tamanho]]="P",5,
IF(Tabela33[[#This Row],[Tamanho]]="M",8,
IF(Tabela33[[#This Row],[Tamanho]]="G",13,
IF(Tabela33[[#This Row],[Tamanho]]="GG",21,0)))))</f>
        <v>5</v>
      </c>
      <c r="F27" s="31">
        <v>1</v>
      </c>
      <c r="G27" s="31" t="s">
        <v>120</v>
      </c>
    </row>
    <row r="28" spans="1:7" ht="21" x14ac:dyDescent="0.3">
      <c r="A28" s="34" t="s">
        <v>77</v>
      </c>
      <c r="B28" s="34" t="s">
        <v>78</v>
      </c>
      <c r="C28" s="35" t="s">
        <v>36</v>
      </c>
      <c r="D28" s="34" t="s">
        <v>29</v>
      </c>
      <c r="E28" s="36">
        <f>IF(Tabela33[[#This Row],[Tamanho]]="PP",3,
IF(Tabela33[[#This Row],[Tamanho]]="P",5,
IF(Tabela33[[#This Row],[Tamanho]]="M",8,
IF(Tabela33[[#This Row],[Tamanho]]="G",13,
IF(Tabela33[[#This Row],[Tamanho]]="GG",21,0)))))</f>
        <v>5</v>
      </c>
      <c r="F28" s="34">
        <v>2</v>
      </c>
      <c r="G28" s="34" t="s">
        <v>120</v>
      </c>
    </row>
    <row r="29" spans="1:7" ht="21" x14ac:dyDescent="0.3">
      <c r="A29" s="31" t="s">
        <v>79</v>
      </c>
      <c r="B29" s="31" t="s">
        <v>80</v>
      </c>
      <c r="C29" s="32" t="s">
        <v>24</v>
      </c>
      <c r="D29" s="31" t="s">
        <v>29</v>
      </c>
      <c r="E29" s="33">
        <f>IF(Tabela33[[#This Row],[Tamanho]]="PP",3,
IF(Tabela33[[#This Row],[Tamanho]]="P",5,
IF(Tabela33[[#This Row],[Tamanho]]="M",8,
IF(Tabela33[[#This Row],[Tamanho]]="G",13,
IF(Tabela33[[#This Row],[Tamanho]]="GG",21,0)))))</f>
        <v>5</v>
      </c>
      <c r="F29" s="31">
        <v>3</v>
      </c>
      <c r="G29" s="31" t="s">
        <v>120</v>
      </c>
    </row>
    <row r="30" spans="1:7" ht="21" x14ac:dyDescent="0.3">
      <c r="A30" s="34" t="s">
        <v>81</v>
      </c>
      <c r="B30" s="34" t="s">
        <v>82</v>
      </c>
      <c r="C30" s="35" t="s">
        <v>9</v>
      </c>
      <c r="D30" s="34" t="s">
        <v>16</v>
      </c>
      <c r="E30" s="36">
        <f>IF(Tabela33[[#This Row],[Tamanho]]="PP",3,
IF(Tabela33[[#This Row],[Tamanho]]="P",5,
IF(Tabela33[[#This Row],[Tamanho]]="M",8,
IF(Tabela33[[#This Row],[Tamanho]]="G",13,
IF(Tabela33[[#This Row],[Tamanho]]="GG",21,0)))))</f>
        <v>8</v>
      </c>
      <c r="F30" s="34">
        <v>3</v>
      </c>
      <c r="G30" s="34" t="s">
        <v>122</v>
      </c>
    </row>
    <row r="31" spans="1:7" ht="21" x14ac:dyDescent="0.3">
      <c r="A31" s="31" t="s">
        <v>83</v>
      </c>
      <c r="B31" s="31" t="s">
        <v>84</v>
      </c>
      <c r="C31" s="32" t="s">
        <v>9</v>
      </c>
      <c r="D31" s="31" t="s">
        <v>10</v>
      </c>
      <c r="E31" s="33">
        <f>IF(Tabela33[[#This Row],[Tamanho]]="PP",3,
IF(Tabela33[[#This Row],[Tamanho]]="P",5,
IF(Tabela33[[#This Row],[Tamanho]]="M",8,
IF(Tabela33[[#This Row],[Tamanho]]="G",13,
IF(Tabela33[[#This Row],[Tamanho]]="GG",21,0)))))</f>
        <v>3</v>
      </c>
      <c r="F31" s="31">
        <v>2</v>
      </c>
      <c r="G31" s="31" t="s">
        <v>122</v>
      </c>
    </row>
    <row r="32" spans="1:7" ht="21" x14ac:dyDescent="0.3">
      <c r="A32" s="34" t="s">
        <v>85</v>
      </c>
      <c r="B32" s="34" t="s">
        <v>86</v>
      </c>
      <c r="C32" s="35" t="s">
        <v>9</v>
      </c>
      <c r="D32" s="34" t="s">
        <v>19</v>
      </c>
      <c r="E32" s="36">
        <f>IF(Tabela33[[#This Row],[Tamanho]]="PP",3,
IF(Tabela33[[#This Row],[Tamanho]]="P",5,
IF(Tabela33[[#This Row],[Tamanho]]="M",8,
IF(Tabela33[[#This Row],[Tamanho]]="G",13,
IF(Tabela33[[#This Row],[Tamanho]]="GG",21,0)))))</f>
        <v>13</v>
      </c>
      <c r="F32" s="34">
        <v>3</v>
      </c>
      <c r="G32" s="34" t="s">
        <v>122</v>
      </c>
    </row>
    <row r="33" spans="1:7" ht="21" x14ac:dyDescent="0.3">
      <c r="A33" s="31" t="s">
        <v>132</v>
      </c>
      <c r="B33" s="31" t="s">
        <v>87</v>
      </c>
      <c r="C33" s="32" t="s">
        <v>24</v>
      </c>
      <c r="D33" s="31" t="s">
        <v>19</v>
      </c>
      <c r="E33" s="33">
        <f>IF(Tabela33[[#This Row],[Tamanho]]="PP",3,
IF(Tabela33[[#This Row],[Tamanho]]="P",5,
IF(Tabela33[[#This Row],[Tamanho]]="M",8,
IF(Tabela33[[#This Row],[Tamanho]]="G",13,
IF(Tabela33[[#This Row],[Tamanho]]="GG",21,0)))))</f>
        <v>13</v>
      </c>
      <c r="F33" s="31">
        <v>3</v>
      </c>
      <c r="G33" s="31" t="s">
        <v>121</v>
      </c>
    </row>
    <row r="34" spans="1:7" ht="21" x14ac:dyDescent="0.3">
      <c r="A34" s="34" t="s">
        <v>88</v>
      </c>
      <c r="B34" s="34" t="s">
        <v>89</v>
      </c>
      <c r="C34" s="35" t="s">
        <v>24</v>
      </c>
      <c r="D34" s="34" t="s">
        <v>16</v>
      </c>
      <c r="E34" s="36">
        <f>IF(Tabela33[[#This Row],[Tamanho]]="PP",3,
IF(Tabela33[[#This Row],[Tamanho]]="P",5,
IF(Tabela33[[#This Row],[Tamanho]]="M",8,
IF(Tabela33[[#This Row],[Tamanho]]="G",13,
IF(Tabela33[[#This Row],[Tamanho]]="GG",21,0)))))</f>
        <v>8</v>
      </c>
      <c r="F34" s="34">
        <v>3</v>
      </c>
      <c r="G34" s="34" t="s">
        <v>121</v>
      </c>
    </row>
    <row r="35" spans="1:7" ht="21" x14ac:dyDescent="0.3">
      <c r="A35" s="31" t="s">
        <v>90</v>
      </c>
      <c r="B35" s="31" t="s">
        <v>91</v>
      </c>
      <c r="C35" s="32" t="s">
        <v>24</v>
      </c>
      <c r="D35" s="31" t="s">
        <v>29</v>
      </c>
      <c r="E35" s="33">
        <f>IF(Tabela33[[#This Row],[Tamanho]]="PP",3,
IF(Tabela33[[#This Row],[Tamanho]]="P",5,
IF(Tabela33[[#This Row],[Tamanho]]="M",8,
IF(Tabela33[[#This Row],[Tamanho]]="G",13,
IF(Tabela33[[#This Row],[Tamanho]]="GG",21,0)))))</f>
        <v>5</v>
      </c>
      <c r="F35" s="31">
        <v>2</v>
      </c>
      <c r="G35" s="31" t="s">
        <v>121</v>
      </c>
    </row>
    <row r="36" spans="1:7" ht="21" x14ac:dyDescent="0.3">
      <c r="A36" s="34" t="s">
        <v>92</v>
      </c>
      <c r="B36" s="34" t="s">
        <v>93</v>
      </c>
      <c r="C36" s="35" t="s">
        <v>24</v>
      </c>
      <c r="D36" s="34" t="s">
        <v>29</v>
      </c>
      <c r="E36" s="36">
        <f>IF(Tabela33[[#This Row],[Tamanho]]="PP",3,
IF(Tabela33[[#This Row],[Tamanho]]="P",5,
IF(Tabela33[[#This Row],[Tamanho]]="M",8,
IF(Tabela33[[#This Row],[Tamanho]]="G",13,
IF(Tabela33[[#This Row],[Tamanho]]="GG",21,0)))))</f>
        <v>5</v>
      </c>
      <c r="F36" s="34">
        <v>2</v>
      </c>
      <c r="G36" s="34" t="s">
        <v>121</v>
      </c>
    </row>
    <row r="37" spans="1:7" x14ac:dyDescent="0.3">
      <c r="A37" s="80"/>
      <c r="B37" s="80"/>
      <c r="C37" s="72"/>
      <c r="D37" s="72"/>
      <c r="E37" s="72"/>
      <c r="F37" s="72"/>
      <c r="G37" s="72"/>
    </row>
    <row r="38" spans="1:7" x14ac:dyDescent="0.3">
      <c r="A38" s="80"/>
      <c r="B38" s="80"/>
      <c r="C38" s="72"/>
      <c r="D38" s="72"/>
      <c r="E38" s="72"/>
      <c r="F38" s="72"/>
      <c r="G38" s="72"/>
    </row>
    <row r="39" spans="1:7" x14ac:dyDescent="0.3">
      <c r="A39" s="80"/>
      <c r="B39" s="80"/>
      <c r="C39" s="72"/>
      <c r="D39" s="72"/>
      <c r="E39" s="72"/>
      <c r="F39" s="72"/>
      <c r="G39" s="72"/>
    </row>
    <row r="40" spans="1:7" x14ac:dyDescent="0.3">
      <c r="A40" s="80"/>
      <c r="B40" s="80"/>
      <c r="C40" s="72"/>
      <c r="D40" s="72"/>
      <c r="E40" s="72"/>
      <c r="F40" s="72"/>
      <c r="G40" s="72"/>
    </row>
    <row r="41" spans="1:7" x14ac:dyDescent="0.3">
      <c r="A41" s="80"/>
      <c r="B41" s="80"/>
      <c r="C41" s="72"/>
      <c r="D41" s="72"/>
      <c r="E41" s="72"/>
      <c r="F41" s="72"/>
      <c r="G41" s="72"/>
    </row>
    <row r="42" spans="1:7" x14ac:dyDescent="0.3">
      <c r="A42" s="80"/>
      <c r="B42" s="80"/>
      <c r="C42" s="72"/>
      <c r="D42" s="72"/>
      <c r="E42" s="72"/>
      <c r="F42" s="72"/>
      <c r="G42" s="72"/>
    </row>
    <row r="43" spans="1:7" x14ac:dyDescent="0.3">
      <c r="A43" s="80"/>
      <c r="B43" s="80"/>
      <c r="C43" s="72"/>
      <c r="D43" s="72"/>
      <c r="E43" s="72"/>
      <c r="F43" s="72"/>
      <c r="G43" s="72"/>
    </row>
    <row r="44" spans="1:7" x14ac:dyDescent="0.3">
      <c r="A44" s="80"/>
      <c r="B44" s="80"/>
      <c r="C44" s="72"/>
      <c r="D44" s="72"/>
      <c r="E44" s="72"/>
      <c r="F44" s="72"/>
      <c r="G44" s="72"/>
    </row>
    <row r="45" spans="1:7" ht="15" thickBot="1" x14ac:dyDescent="0.35">
      <c r="A45" s="80"/>
      <c r="B45" s="80"/>
      <c r="C45" s="72"/>
      <c r="D45" s="72"/>
      <c r="E45" s="72"/>
      <c r="F45" s="72"/>
      <c r="G45" s="72"/>
    </row>
    <row r="46" spans="1:7" ht="15.6" x14ac:dyDescent="0.3">
      <c r="A46" s="80"/>
      <c r="B46" s="80"/>
      <c r="C46" s="28"/>
      <c r="D46" s="12" t="s">
        <v>117</v>
      </c>
      <c r="E46" s="10" t="s">
        <v>115</v>
      </c>
      <c r="F46" s="81" t="s">
        <v>116</v>
      </c>
      <c r="G46" s="82"/>
    </row>
    <row r="47" spans="1:7" ht="15.6" x14ac:dyDescent="0.3">
      <c r="A47" s="80"/>
      <c r="B47" s="80"/>
      <c r="C47" s="14" t="s">
        <v>112</v>
      </c>
      <c r="D47" s="39">
        <f>SUM(E10:E36)</f>
        <v>201</v>
      </c>
      <c r="E47" s="39">
        <f>SUM(E48:E51)</f>
        <v>201</v>
      </c>
      <c r="F47" s="83">
        <f>D47-E47</f>
        <v>0</v>
      </c>
      <c r="G47" s="84"/>
    </row>
    <row r="48" spans="1:7" ht="15.6" x14ac:dyDescent="0.3">
      <c r="A48" s="80"/>
      <c r="B48" s="80"/>
      <c r="C48" s="14" t="s">
        <v>123</v>
      </c>
      <c r="D48" s="13">
        <f>SUM(E10:E11,E14,E24,E25)</f>
        <v>37</v>
      </c>
      <c r="E48" s="11">
        <f>SUM(E10:E11,E14,E24,E25)</f>
        <v>37</v>
      </c>
      <c r="F48" s="68">
        <v>0</v>
      </c>
      <c r="G48" s="69"/>
    </row>
    <row r="49" spans="1:7" ht="15.6" x14ac:dyDescent="0.3">
      <c r="A49" s="80"/>
      <c r="B49" s="80"/>
      <c r="C49" s="14" t="s">
        <v>120</v>
      </c>
      <c r="D49" s="13">
        <f>SUM(E12,E13,E20,E21,E22,E27,E28,E29)</f>
        <v>57</v>
      </c>
      <c r="E49" s="11">
        <f>SUM(E12,E13,E20,E21,E22,E27,E28,E29)</f>
        <v>57</v>
      </c>
      <c r="F49" s="68">
        <f>D49-E49</f>
        <v>0</v>
      </c>
      <c r="G49" s="69"/>
    </row>
    <row r="50" spans="1:7" ht="15.6" x14ac:dyDescent="0.3">
      <c r="A50" s="80"/>
      <c r="B50" s="80"/>
      <c r="C50" s="14" t="s">
        <v>122</v>
      </c>
      <c r="D50" s="13">
        <f>SUM(E15,E17,E18,E19,E26,E30,E31,E32)</f>
        <v>63</v>
      </c>
      <c r="E50" s="11">
        <f>SUM(E15,E17,E18,E19,E26,E30,E31,E32)</f>
        <v>63</v>
      </c>
      <c r="F50" s="68">
        <f>D50-E50</f>
        <v>0</v>
      </c>
      <c r="G50" s="69"/>
    </row>
    <row r="51" spans="1:7" ht="15.6" x14ac:dyDescent="0.3">
      <c r="A51" s="80"/>
      <c r="B51" s="80"/>
      <c r="C51" s="14" t="s">
        <v>121</v>
      </c>
      <c r="D51" s="13">
        <f>SUM(E16,E23,E33,E34,E35,E36)</f>
        <v>44</v>
      </c>
      <c r="E51" s="11">
        <f>SUM(E16,E23,E34,E35,E36,E33)</f>
        <v>44</v>
      </c>
      <c r="F51" s="68">
        <f>D51-E51</f>
        <v>0</v>
      </c>
      <c r="G51" s="69"/>
    </row>
    <row r="52" spans="1:7" x14ac:dyDescent="0.3">
      <c r="A52" s="80"/>
      <c r="B52" s="80"/>
      <c r="C52" s="85"/>
      <c r="D52" s="85"/>
      <c r="E52" s="85"/>
      <c r="F52" s="43"/>
      <c r="G52" s="43"/>
    </row>
    <row r="53" spans="1:7" x14ac:dyDescent="0.3">
      <c r="A53" s="80"/>
      <c r="B53" s="80"/>
      <c r="C53" s="72"/>
      <c r="D53" s="72"/>
      <c r="E53" s="72"/>
      <c r="F53" s="47"/>
      <c r="G53" s="47"/>
    </row>
    <row r="54" spans="1:7" x14ac:dyDescent="0.3">
      <c r="A54" s="80"/>
      <c r="B54" s="80"/>
      <c r="C54" s="72"/>
      <c r="D54" s="72"/>
      <c r="E54" s="72"/>
      <c r="F54" s="47"/>
      <c r="G54" s="47"/>
    </row>
    <row r="55" spans="1:7" x14ac:dyDescent="0.3">
      <c r="A55" s="80"/>
      <c r="B55" s="80"/>
      <c r="C55" s="72"/>
      <c r="D55" s="72"/>
      <c r="E55" s="72"/>
      <c r="F55" s="47"/>
      <c r="G55" s="47"/>
    </row>
    <row r="56" spans="1:7" x14ac:dyDescent="0.3">
      <c r="A56" s="80"/>
      <c r="B56" s="80"/>
      <c r="C56" s="72"/>
      <c r="D56" s="72"/>
      <c r="E56" s="72"/>
      <c r="F56" s="47"/>
      <c r="G56" s="47"/>
    </row>
    <row r="57" spans="1:7" x14ac:dyDescent="0.3">
      <c r="A57" s="80"/>
      <c r="B57" s="80"/>
      <c r="C57" s="72"/>
      <c r="D57" s="72"/>
      <c r="E57" s="72"/>
      <c r="F57" s="47"/>
      <c r="G57" s="47"/>
    </row>
    <row r="58" spans="1:7" ht="15" thickBot="1" x14ac:dyDescent="0.35">
      <c r="A58" s="80"/>
      <c r="B58" s="80"/>
      <c r="C58" s="72"/>
      <c r="D58" s="72"/>
      <c r="E58" s="72"/>
      <c r="F58" s="47"/>
      <c r="G58" s="47"/>
    </row>
    <row r="59" spans="1:7" ht="15.6" x14ac:dyDescent="0.3">
      <c r="A59" s="80"/>
      <c r="B59" s="80"/>
      <c r="C59" s="28"/>
      <c r="D59" s="12" t="s">
        <v>135</v>
      </c>
      <c r="E59" s="72"/>
      <c r="F59" s="73" t="s">
        <v>136</v>
      </c>
      <c r="G59" s="74"/>
    </row>
    <row r="60" spans="1:7" ht="15.6" x14ac:dyDescent="0.3">
      <c r="A60" s="80"/>
      <c r="B60" s="80"/>
      <c r="C60" s="14" t="s">
        <v>112</v>
      </c>
      <c r="D60" s="39">
        <f>SUM(E10:E36)</f>
        <v>201</v>
      </c>
      <c r="E60" s="72"/>
      <c r="F60" s="75"/>
      <c r="G60" s="76"/>
    </row>
    <row r="61" spans="1:7" ht="16.2" thickBot="1" x14ac:dyDescent="0.35">
      <c r="A61" s="80"/>
      <c r="B61" s="80"/>
      <c r="C61" s="14" t="s">
        <v>123</v>
      </c>
      <c r="D61" s="13">
        <f>D60-D48</f>
        <v>164</v>
      </c>
      <c r="E61" s="72"/>
      <c r="F61" s="77"/>
      <c r="G61" s="78"/>
    </row>
    <row r="62" spans="1:7" ht="15.6" x14ac:dyDescent="0.3">
      <c r="A62" s="80"/>
      <c r="B62" s="80"/>
      <c r="C62" s="14" t="s">
        <v>120</v>
      </c>
      <c r="D62" s="13">
        <f>D61-D49</f>
        <v>107</v>
      </c>
      <c r="E62" s="72"/>
      <c r="F62" s="44" t="s">
        <v>124</v>
      </c>
      <c r="G62" s="45" t="s">
        <v>123</v>
      </c>
    </row>
    <row r="63" spans="1:7" ht="15.6" x14ac:dyDescent="0.3">
      <c r="A63" s="80"/>
      <c r="B63" s="80"/>
      <c r="C63" s="14" t="s">
        <v>122</v>
      </c>
      <c r="D63" s="13">
        <f>D62-E50</f>
        <v>44</v>
      </c>
      <c r="E63" s="72"/>
      <c r="F63" s="40" t="s">
        <v>115</v>
      </c>
      <c r="G63" s="38">
        <f>VLOOKUP(G62,C46:G51,3,FALSE)</f>
        <v>37</v>
      </c>
    </row>
    <row r="64" spans="1:7" ht="15.6" x14ac:dyDescent="0.3">
      <c r="A64" s="80"/>
      <c r="B64" s="80"/>
      <c r="C64" s="14" t="s">
        <v>121</v>
      </c>
      <c r="D64" s="13">
        <f>D51+F50-E51</f>
        <v>0</v>
      </c>
      <c r="E64" s="72"/>
      <c r="F64" s="40" t="s">
        <v>117</v>
      </c>
      <c r="G64" s="38">
        <f>VLOOKUP(G62,C46:G51,2,FALSE)</f>
        <v>37</v>
      </c>
    </row>
    <row r="65" spans="1:7" x14ac:dyDescent="0.3">
      <c r="A65" s="80"/>
      <c r="B65" s="80"/>
      <c r="C65" s="72"/>
      <c r="D65" s="72"/>
      <c r="E65" s="72"/>
      <c r="F65" s="72"/>
      <c r="G65" s="72"/>
    </row>
    <row r="66" spans="1:7" x14ac:dyDescent="0.3">
      <c r="A66" s="80"/>
      <c r="B66" s="80"/>
      <c r="C66" s="72"/>
      <c r="D66" s="72"/>
      <c r="E66" s="72"/>
      <c r="F66" s="72"/>
      <c r="G66" s="72"/>
    </row>
    <row r="67" spans="1:7" x14ac:dyDescent="0.3">
      <c r="A67" s="80"/>
      <c r="B67" s="80"/>
      <c r="C67" s="72"/>
      <c r="D67" s="72"/>
      <c r="E67" s="72"/>
      <c r="F67" s="72"/>
      <c r="G67" s="72"/>
    </row>
    <row r="68" spans="1:7" x14ac:dyDescent="0.3">
      <c r="A68" s="80"/>
      <c r="B68" s="80"/>
      <c r="C68" s="72"/>
      <c r="D68" s="72"/>
      <c r="E68" s="72"/>
      <c r="F68" s="72"/>
      <c r="G68" s="72"/>
    </row>
    <row r="69" spans="1:7" x14ac:dyDescent="0.3">
      <c r="A69" s="80"/>
      <c r="B69" s="80"/>
      <c r="C69" s="72"/>
      <c r="D69" s="72"/>
      <c r="E69" s="72"/>
      <c r="F69" s="72"/>
      <c r="G69" s="72"/>
    </row>
    <row r="71" spans="1:7" x14ac:dyDescent="0.3">
      <c r="B71" s="46"/>
    </row>
  </sheetData>
  <mergeCells count="13">
    <mergeCell ref="E59:E64"/>
    <mergeCell ref="F59:G61"/>
    <mergeCell ref="C65:G69"/>
    <mergeCell ref="A1:G8"/>
    <mergeCell ref="A37:B69"/>
    <mergeCell ref="C37:G45"/>
    <mergeCell ref="F46:G46"/>
    <mergeCell ref="F47:G47"/>
    <mergeCell ref="F48:G48"/>
    <mergeCell ref="F49:G49"/>
    <mergeCell ref="F50:G50"/>
    <mergeCell ref="F51:G51"/>
    <mergeCell ref="C52:E58"/>
  </mergeCells>
  <conditionalFormatting sqref="A10:D36 F10:G36">
    <cfRule type="expression" dxfId="1" priority="1">
      <formula>#REF!="Sim"</formula>
    </cfRule>
    <cfRule type="expression" dxfId="0" priority="2">
      <formula>#REF!=1</formula>
    </cfRule>
  </conditionalFormatting>
  <dataValidations count="8">
    <dataValidation type="list" allowBlank="1" showInputMessage="1" showErrorMessage="1" sqref="G62" xr:uid="{48A427D4-E98B-4464-8932-C27C4F25EBEB}">
      <formula1>$C$48:$C$51</formula1>
    </dataValidation>
    <dataValidation allowBlank="1" showInputMessage="1" showErrorMessage="1" prompt="Insira o nome do item nesta coluna" sqref="A9" xr:uid="{F68BE7A7-AEC5-4C2F-ADBE-A75174293901}"/>
    <dataValidation allowBlank="1" showInputMessage="1" showErrorMessage="1" prompt="Insira quantos dias faltam para realizar nova encomenda de cada item nesta coluna" sqref="G9" xr:uid="{7B9C7BF5-5261-46AB-AB3D-17E3CF322AFA}"/>
    <dataValidation allowBlank="1" showInputMessage="1" showErrorMessage="1" prompt="Insira o nível de estoque de cada item nesta coluna" sqref="F9" xr:uid="{C4A02465-4662-40A3-BD6B-75874F44CCD7}"/>
    <dataValidation allowBlank="1" showInputMessage="1" showErrorMessage="1" prompt="Esse é um valor de estoque column._x000a__x000a_O valor de estoque de cada item é automaticamente calculado nesta coluna." sqref="E9" xr:uid="{8D368F22-17EA-4D58-A7DC-08CCB36CCD50}"/>
    <dataValidation allowBlank="1" showInputMessage="1" showErrorMessage="1" prompt="Insira a quantidade em estoque de cada item nesta coluna" sqref="D9" xr:uid="{FFB33C16-B029-4D4D-9A01-AC6077AC35F6}"/>
    <dataValidation allowBlank="1" showInputMessage="1" showErrorMessage="1" prompt="Insira o preço unitário de cada item nesta coluna" sqref="C9" xr:uid="{650C0D00-0C81-483A-B470-9B922899F74C}"/>
    <dataValidation allowBlank="1" showInputMessage="1" showErrorMessage="1" prompt="Insira uma descrição do item nesta coluna" sqref="B9" xr:uid="{D1F626B7-F27B-4554-BB65-289A9B6DD78C}"/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5" ma:contentTypeDescription="Create a new document." ma:contentTypeScope="" ma:versionID="c88fc727e37bcbeb6d3a40296a022323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77a4e7418373acf0c30a5fd0050b4a86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Props1.xml><?xml version="1.0" encoding="utf-8"?>
<ds:datastoreItem xmlns:ds="http://schemas.openxmlformats.org/officeDocument/2006/customXml" ds:itemID="{5A3FC760-E629-409A-86BC-CC3C163C0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3B3E02-9081-4283-A1B6-3FADACFC66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7ADB8-BE75-4F14-ADF9-E64D4A3FD476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8497f9ae-9c71-438c-b553-1e6fe8b1acb0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Requisitos Projeto</vt:lpstr>
      <vt:lpstr>Planilha Requisitos SP2 (2)</vt:lpstr>
      <vt:lpstr>'Requisitos Projeto'!Titulos_de_impressao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2025-09-30T08:42:58Z</dcterms:created>
  <dcterms:modified xsi:type="dcterms:W3CDTF">2025-12-09T00:43:09Z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